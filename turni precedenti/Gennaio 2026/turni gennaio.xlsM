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463450412a5421e/Desktop/Turni/Gennaio 2026/"/>
    </mc:Choice>
  </mc:AlternateContent>
  <xr:revisionPtr revIDLastSave="6952" documentId="14_{A1A66E21-C991-CA41-B179-5E56C926D9B1}" xr6:coauthVersionLast="47" xr6:coauthVersionMax="47" xr10:uidLastSave="{BC80033C-FE8A-D745-95D8-FFE0126CE0F8}"/>
  <bookViews>
    <workbookView xWindow="0" yWindow="680" windowWidth="30240" windowHeight="17280" tabRatio="595" activeTab="2" xr2:uid="{A01AFC37-F1E2-4F87-BA49-11CCD5BDAA0D}"/>
  </bookViews>
  <sheets>
    <sheet name="TURNI" sheetId="1" r:id="rId1"/>
    <sheet name="DISPONIBILITà" sheetId="5" r:id="rId2"/>
    <sheet name="DA STAMPARE" sheetId="6" r:id="rId3"/>
    <sheet name="SOMMA TURNI TOTALI" sheetId="8" r:id="rId4"/>
    <sheet name="SETUP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" i="8" l="1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N3" i="8"/>
  <c r="L3" i="8"/>
  <c r="K3" i="8"/>
  <c r="J3" i="8"/>
  <c r="H3" i="8"/>
  <c r="F3" i="8"/>
  <c r="D3" i="8"/>
  <c r="B3" i="8"/>
  <c r="W3" i="8"/>
  <c r="U3" i="8"/>
  <c r="P3" i="8"/>
  <c r="O3" i="8"/>
  <c r="AA6" i="8"/>
  <c r="AA7" i="8"/>
  <c r="AA8" i="8"/>
  <c r="AA9" i="8"/>
  <c r="AA10" i="8"/>
  <c r="AA11" i="8"/>
  <c r="AA12" i="8"/>
  <c r="AA13" i="8"/>
  <c r="AA14" i="8"/>
  <c r="AA15" i="8"/>
  <c r="AB6" i="8"/>
  <c r="AB7" i="8"/>
  <c r="AB8" i="8"/>
  <c r="AB9" i="8"/>
  <c r="AB10" i="8"/>
  <c r="AB11" i="8"/>
  <c r="AB12" i="8"/>
  <c r="AB13" i="8"/>
  <c r="AB14" i="8"/>
  <c r="AB15" i="8"/>
  <c r="AC6" i="8"/>
  <c r="AC7" i="8"/>
  <c r="AC8" i="8"/>
  <c r="AC9" i="8"/>
  <c r="AC10" i="8"/>
  <c r="AC11" i="8"/>
  <c r="AC12" i="8"/>
  <c r="AC13" i="8"/>
  <c r="AC14" i="8"/>
  <c r="AC15" i="8"/>
  <c r="Z6" i="8"/>
  <c r="Z7" i="8"/>
  <c r="Z8" i="8"/>
  <c r="Z9" i="8"/>
  <c r="Z10" i="8"/>
  <c r="Z11" i="8"/>
  <c r="Z12" i="8"/>
  <c r="Z13" i="8"/>
  <c r="Z14" i="8"/>
  <c r="Z15" i="8"/>
  <c r="AB5" i="8"/>
  <c r="AA5" i="8"/>
  <c r="AC5" i="8"/>
  <c r="Z5" i="8"/>
  <c r="Z4" i="8"/>
  <c r="AA4" i="8"/>
  <c r="AB4" i="8"/>
  <c r="AC4" i="8"/>
  <c r="AA3" i="8"/>
  <c r="AB3" i="8"/>
  <c r="AC3" i="8"/>
  <c r="Z3" i="8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5" i="1"/>
  <c r="BI5" i="1"/>
  <c r="AV35" i="1"/>
  <c r="I5" i="6"/>
  <c r="I7" i="6"/>
  <c r="I40" i="1"/>
  <c r="H40" i="1"/>
  <c r="G40" i="1"/>
  <c r="F60" i="1" s="1"/>
  <c r="F40" i="1"/>
  <c r="E40" i="1"/>
  <c r="AF13" i="8"/>
  <c r="AF8" i="8"/>
  <c r="AF12" i="8"/>
  <c r="AE9" i="8"/>
  <c r="AF3" i="8"/>
  <c r="AF7" i="8"/>
  <c r="AE4" i="8"/>
  <c r="AF9" i="8"/>
  <c r="AH9" i="8"/>
  <c r="AF15" i="8"/>
  <c r="AF14" i="8"/>
  <c r="AE13" i="8"/>
  <c r="AH13" i="8"/>
  <c r="AE12" i="8"/>
  <c r="AH12" i="8"/>
  <c r="AE11" i="8"/>
  <c r="AE15" i="8"/>
  <c r="AE14" i="8"/>
  <c r="AH14" i="8"/>
  <c r="AE10" i="8"/>
  <c r="AE3" i="8"/>
  <c r="AH3" i="8"/>
  <c r="AF6" i="8"/>
  <c r="AE8" i="8"/>
  <c r="AH8" i="8"/>
  <c r="AE6" i="8"/>
  <c r="AF10" i="8"/>
  <c r="AH10" i="8"/>
  <c r="AF5" i="8"/>
  <c r="AF4" i="8"/>
  <c r="AH4" i="8"/>
  <c r="AE5" i="8"/>
  <c r="AH5" i="8"/>
  <c r="AE7" i="8"/>
  <c r="AH7" i="8"/>
  <c r="AF11" i="8"/>
  <c r="AW7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E9" i="1"/>
  <c r="BE8" i="1"/>
  <c r="BE7" i="1"/>
  <c r="BE6" i="1"/>
  <c r="BE5" i="1"/>
  <c r="AE48" i="1"/>
  <c r="W68" i="1" s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68" i="1" s="1"/>
  <c r="J48" i="1"/>
  <c r="I48" i="1"/>
  <c r="H68" i="1" s="1"/>
  <c r="H48" i="1"/>
  <c r="G48" i="1"/>
  <c r="F68" i="1" s="1"/>
  <c r="F48" i="1"/>
  <c r="E48" i="1"/>
  <c r="D48" i="1"/>
  <c r="C48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5" i="1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8" i="6"/>
  <c r="N9" i="6"/>
  <c r="D40" i="1"/>
  <c r="C40" i="1"/>
  <c r="AH15" i="8"/>
  <c r="AH11" i="8"/>
  <c r="AH6" i="8"/>
  <c r="Q27" i="6"/>
  <c r="E13" i="6"/>
  <c r="B32" i="5"/>
  <c r="B33" i="5"/>
  <c r="B34" i="5"/>
  <c r="B35" i="5"/>
  <c r="B22" i="5"/>
  <c r="B23" i="5"/>
  <c r="B24" i="5"/>
  <c r="B25" i="5"/>
  <c r="B26" i="5"/>
  <c r="Y26" i="5" s="1"/>
  <c r="B27" i="5"/>
  <c r="Y27" i="5" s="1"/>
  <c r="B28" i="5"/>
  <c r="Y28" i="5" s="1"/>
  <c r="B29" i="5"/>
  <c r="B30" i="5"/>
  <c r="B31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5" i="5"/>
  <c r="Y20" i="5"/>
  <c r="Y19" i="5"/>
  <c r="Y18" i="5"/>
  <c r="Y17" i="5"/>
  <c r="Y12" i="5"/>
  <c r="Y11" i="5"/>
  <c r="Y10" i="5"/>
  <c r="Y5" i="5"/>
  <c r="E5" i="6"/>
  <c r="F5" i="6"/>
  <c r="G5" i="6"/>
  <c r="H5" i="6"/>
  <c r="J5" i="6"/>
  <c r="K5" i="6"/>
  <c r="L5" i="6"/>
  <c r="M5" i="6"/>
  <c r="N5" i="6"/>
  <c r="O5" i="6"/>
  <c r="P5" i="6"/>
  <c r="Q5" i="6"/>
  <c r="E6" i="6"/>
  <c r="F6" i="6"/>
  <c r="G6" i="6"/>
  <c r="H6" i="6"/>
  <c r="I6" i="6"/>
  <c r="J6" i="6"/>
  <c r="K6" i="6"/>
  <c r="L6" i="6"/>
  <c r="M6" i="6"/>
  <c r="N6" i="6"/>
  <c r="O6" i="6"/>
  <c r="P6" i="6"/>
  <c r="Q6" i="6"/>
  <c r="E7" i="6"/>
  <c r="F7" i="6"/>
  <c r="G7" i="6"/>
  <c r="H7" i="6"/>
  <c r="J7" i="6"/>
  <c r="K7" i="6"/>
  <c r="L7" i="6"/>
  <c r="M7" i="6"/>
  <c r="N7" i="6"/>
  <c r="O7" i="6"/>
  <c r="P7" i="6"/>
  <c r="Q7" i="6"/>
  <c r="E8" i="6"/>
  <c r="F8" i="6"/>
  <c r="G8" i="6"/>
  <c r="H8" i="6"/>
  <c r="I8" i="6"/>
  <c r="J8" i="6"/>
  <c r="K8" i="6"/>
  <c r="L8" i="6"/>
  <c r="M8" i="6"/>
  <c r="O8" i="6"/>
  <c r="P8" i="6"/>
  <c r="Q8" i="6"/>
  <c r="E9" i="6"/>
  <c r="F9" i="6"/>
  <c r="G9" i="6"/>
  <c r="H9" i="6"/>
  <c r="I9" i="6"/>
  <c r="J9" i="6"/>
  <c r="K9" i="6"/>
  <c r="L9" i="6"/>
  <c r="M9" i="6"/>
  <c r="O9" i="6"/>
  <c r="P9" i="6"/>
  <c r="Q9" i="6"/>
  <c r="E10" i="6"/>
  <c r="F10" i="6"/>
  <c r="G10" i="6"/>
  <c r="H10" i="6"/>
  <c r="I10" i="6"/>
  <c r="J10" i="6"/>
  <c r="K10" i="6"/>
  <c r="L10" i="6"/>
  <c r="M10" i="6"/>
  <c r="O10" i="6"/>
  <c r="P10" i="6"/>
  <c r="Q10" i="6"/>
  <c r="E11" i="6"/>
  <c r="F11" i="6"/>
  <c r="G11" i="6"/>
  <c r="H11" i="6"/>
  <c r="I11" i="6"/>
  <c r="J11" i="6"/>
  <c r="K11" i="6"/>
  <c r="L11" i="6"/>
  <c r="M11" i="6"/>
  <c r="O11" i="6"/>
  <c r="P11" i="6"/>
  <c r="Q11" i="6"/>
  <c r="E12" i="6"/>
  <c r="F12" i="6"/>
  <c r="G12" i="6"/>
  <c r="H12" i="6"/>
  <c r="I12" i="6"/>
  <c r="J12" i="6"/>
  <c r="K12" i="6"/>
  <c r="L12" i="6"/>
  <c r="M12" i="6"/>
  <c r="O12" i="6"/>
  <c r="P12" i="6"/>
  <c r="Q12" i="6"/>
  <c r="F13" i="6"/>
  <c r="G13" i="6"/>
  <c r="H13" i="6"/>
  <c r="I13" i="6"/>
  <c r="J13" i="6"/>
  <c r="K13" i="6"/>
  <c r="L13" i="6"/>
  <c r="M13" i="6"/>
  <c r="O13" i="6"/>
  <c r="P13" i="6"/>
  <c r="Q13" i="6"/>
  <c r="E14" i="6"/>
  <c r="F14" i="6"/>
  <c r="G14" i="6"/>
  <c r="H14" i="6"/>
  <c r="I14" i="6"/>
  <c r="J14" i="6"/>
  <c r="L14" i="6"/>
  <c r="M14" i="6"/>
  <c r="O14" i="6"/>
  <c r="P14" i="6"/>
  <c r="Q14" i="6"/>
  <c r="E15" i="6"/>
  <c r="F15" i="6"/>
  <c r="G15" i="6"/>
  <c r="H15" i="6"/>
  <c r="I15" i="6"/>
  <c r="J15" i="6"/>
  <c r="K15" i="6"/>
  <c r="L15" i="6"/>
  <c r="M15" i="6"/>
  <c r="O15" i="6"/>
  <c r="P15" i="6"/>
  <c r="Q15" i="6"/>
  <c r="E16" i="6"/>
  <c r="F16" i="6"/>
  <c r="G16" i="6"/>
  <c r="H16" i="6"/>
  <c r="I16" i="6"/>
  <c r="J16" i="6"/>
  <c r="K16" i="6"/>
  <c r="L16" i="6"/>
  <c r="M16" i="6"/>
  <c r="O16" i="6"/>
  <c r="P16" i="6"/>
  <c r="Q16" i="6"/>
  <c r="E17" i="6"/>
  <c r="F17" i="6"/>
  <c r="G17" i="6"/>
  <c r="H17" i="6"/>
  <c r="I17" i="6"/>
  <c r="J17" i="6"/>
  <c r="K17" i="6"/>
  <c r="L17" i="6"/>
  <c r="M17" i="6"/>
  <c r="O17" i="6"/>
  <c r="P17" i="6"/>
  <c r="Q17" i="6"/>
  <c r="E18" i="6"/>
  <c r="F18" i="6"/>
  <c r="G18" i="6"/>
  <c r="H18" i="6"/>
  <c r="I18" i="6"/>
  <c r="J18" i="6"/>
  <c r="K18" i="6"/>
  <c r="L18" i="6"/>
  <c r="M18" i="6"/>
  <c r="O18" i="6"/>
  <c r="P18" i="6"/>
  <c r="Q18" i="6"/>
  <c r="E19" i="6"/>
  <c r="F19" i="6"/>
  <c r="G19" i="6"/>
  <c r="H19" i="6"/>
  <c r="I19" i="6"/>
  <c r="J19" i="6"/>
  <c r="K19" i="6"/>
  <c r="L19" i="6"/>
  <c r="M19" i="6"/>
  <c r="O19" i="6"/>
  <c r="P19" i="6"/>
  <c r="Q19" i="6"/>
  <c r="E20" i="6"/>
  <c r="F20" i="6"/>
  <c r="G20" i="6"/>
  <c r="H20" i="6"/>
  <c r="I20" i="6"/>
  <c r="J20" i="6"/>
  <c r="K20" i="6"/>
  <c r="L20" i="6"/>
  <c r="M20" i="6"/>
  <c r="O20" i="6"/>
  <c r="P20" i="6"/>
  <c r="Q20" i="6"/>
  <c r="E21" i="6"/>
  <c r="F21" i="6"/>
  <c r="G21" i="6"/>
  <c r="H21" i="6"/>
  <c r="I21" i="6"/>
  <c r="J21" i="6"/>
  <c r="K21" i="6"/>
  <c r="L21" i="6"/>
  <c r="M21" i="6"/>
  <c r="O21" i="6"/>
  <c r="P21" i="6"/>
  <c r="Q21" i="6"/>
  <c r="E22" i="6"/>
  <c r="F22" i="6"/>
  <c r="G22" i="6"/>
  <c r="H22" i="6"/>
  <c r="I22" i="6"/>
  <c r="J22" i="6"/>
  <c r="K22" i="6"/>
  <c r="L22" i="6"/>
  <c r="M22" i="6"/>
  <c r="O22" i="6"/>
  <c r="P22" i="6"/>
  <c r="Q22" i="6"/>
  <c r="E23" i="6"/>
  <c r="F23" i="6"/>
  <c r="G23" i="6"/>
  <c r="H23" i="6"/>
  <c r="I23" i="6"/>
  <c r="J23" i="6"/>
  <c r="K23" i="6"/>
  <c r="L23" i="6"/>
  <c r="M23" i="6"/>
  <c r="O23" i="6"/>
  <c r="P23" i="6"/>
  <c r="Q23" i="6"/>
  <c r="E24" i="6"/>
  <c r="F24" i="6"/>
  <c r="G24" i="6"/>
  <c r="H24" i="6"/>
  <c r="I24" i="6"/>
  <c r="J24" i="6"/>
  <c r="K24" i="6"/>
  <c r="L24" i="6"/>
  <c r="M24" i="6"/>
  <c r="O24" i="6"/>
  <c r="P24" i="6"/>
  <c r="Q24" i="6"/>
  <c r="E25" i="6"/>
  <c r="F25" i="6"/>
  <c r="G25" i="6"/>
  <c r="H25" i="6"/>
  <c r="I25" i="6"/>
  <c r="J25" i="6"/>
  <c r="K25" i="6"/>
  <c r="L25" i="6"/>
  <c r="M25" i="6"/>
  <c r="O25" i="6"/>
  <c r="P25" i="6"/>
  <c r="Q25" i="6"/>
  <c r="E26" i="6"/>
  <c r="F26" i="6"/>
  <c r="G26" i="6"/>
  <c r="H26" i="6"/>
  <c r="I26" i="6"/>
  <c r="J26" i="6"/>
  <c r="K26" i="6"/>
  <c r="L26" i="6"/>
  <c r="M26" i="6"/>
  <c r="O26" i="6"/>
  <c r="P26" i="6"/>
  <c r="Q26" i="6"/>
  <c r="E27" i="6"/>
  <c r="F27" i="6"/>
  <c r="G27" i="6"/>
  <c r="H27" i="6"/>
  <c r="I27" i="6"/>
  <c r="J27" i="6"/>
  <c r="K27" i="6"/>
  <c r="L27" i="6"/>
  <c r="M27" i="6"/>
  <c r="O27" i="6"/>
  <c r="P27" i="6"/>
  <c r="E28" i="6"/>
  <c r="F28" i="6"/>
  <c r="G28" i="6"/>
  <c r="H28" i="6"/>
  <c r="I28" i="6"/>
  <c r="J28" i="6"/>
  <c r="K28" i="6"/>
  <c r="L28" i="6"/>
  <c r="M28" i="6"/>
  <c r="O28" i="6"/>
  <c r="P28" i="6"/>
  <c r="Q28" i="6"/>
  <c r="E29" i="6"/>
  <c r="F29" i="6"/>
  <c r="G29" i="6"/>
  <c r="H29" i="6"/>
  <c r="I29" i="6"/>
  <c r="J29" i="6"/>
  <c r="K29" i="6"/>
  <c r="L29" i="6"/>
  <c r="M29" i="6"/>
  <c r="O29" i="6"/>
  <c r="P29" i="6"/>
  <c r="Q29" i="6"/>
  <c r="E30" i="6"/>
  <c r="F30" i="6"/>
  <c r="G30" i="6"/>
  <c r="H30" i="6"/>
  <c r="I30" i="6"/>
  <c r="J30" i="6"/>
  <c r="K30" i="6"/>
  <c r="L30" i="6"/>
  <c r="M30" i="6"/>
  <c r="O30" i="6"/>
  <c r="P30" i="6"/>
  <c r="Q30" i="6"/>
  <c r="E31" i="6"/>
  <c r="F31" i="6"/>
  <c r="G31" i="6"/>
  <c r="H31" i="6"/>
  <c r="I31" i="6"/>
  <c r="J31" i="6"/>
  <c r="K31" i="6"/>
  <c r="L31" i="6"/>
  <c r="M31" i="6"/>
  <c r="O31" i="6"/>
  <c r="P31" i="6"/>
  <c r="Q31" i="6"/>
  <c r="E32" i="6"/>
  <c r="F32" i="6"/>
  <c r="G32" i="6"/>
  <c r="H32" i="6"/>
  <c r="I32" i="6"/>
  <c r="J32" i="6"/>
  <c r="K32" i="6"/>
  <c r="L32" i="6"/>
  <c r="M32" i="6"/>
  <c r="O32" i="6"/>
  <c r="P32" i="6"/>
  <c r="Q32" i="6"/>
  <c r="E33" i="6"/>
  <c r="F33" i="6"/>
  <c r="G33" i="6"/>
  <c r="H33" i="6"/>
  <c r="I33" i="6"/>
  <c r="J33" i="6"/>
  <c r="K33" i="6"/>
  <c r="L33" i="6"/>
  <c r="M33" i="6"/>
  <c r="O33" i="6"/>
  <c r="P33" i="6"/>
  <c r="Q33" i="6"/>
  <c r="E34" i="6"/>
  <c r="F34" i="6"/>
  <c r="G34" i="6"/>
  <c r="H34" i="6"/>
  <c r="I34" i="6"/>
  <c r="J34" i="6"/>
  <c r="K34" i="6"/>
  <c r="L34" i="6"/>
  <c r="M34" i="6"/>
  <c r="O34" i="6"/>
  <c r="P34" i="6"/>
  <c r="Q3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4" i="6"/>
  <c r="B4" i="6"/>
  <c r="B26" i="6"/>
  <c r="B27" i="6"/>
  <c r="B28" i="6"/>
  <c r="B29" i="6"/>
  <c r="B30" i="6"/>
  <c r="B31" i="6"/>
  <c r="B32" i="6"/>
  <c r="B33" i="6"/>
  <c r="B3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Y6" i="5"/>
  <c r="Y7" i="5"/>
  <c r="Y8" i="5"/>
  <c r="Y9" i="5"/>
  <c r="Y13" i="5"/>
  <c r="Y14" i="5"/>
  <c r="Y15" i="5"/>
  <c r="Y16" i="5"/>
  <c r="Y21" i="5"/>
  <c r="Y22" i="5"/>
  <c r="Y23" i="5"/>
  <c r="Y24" i="5"/>
  <c r="Y25" i="5"/>
  <c r="Y29" i="5"/>
  <c r="Y30" i="5"/>
  <c r="Y31" i="5"/>
  <c r="Y32" i="5"/>
  <c r="Y33" i="5"/>
  <c r="L40" i="1"/>
  <c r="K60" i="1" s="1"/>
  <c r="AE40" i="1"/>
  <c r="W60" i="1" s="1"/>
  <c r="AD40" i="1"/>
  <c r="AC40" i="1"/>
  <c r="U60" i="1" s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60" i="1"/>
  <c r="O40" i="1"/>
  <c r="N60" i="1" s="1"/>
  <c r="M40" i="1"/>
  <c r="K40" i="1"/>
  <c r="J60" i="1" s="1"/>
  <c r="J40" i="1"/>
  <c r="H60" i="1" s="1"/>
  <c r="AX30" i="1"/>
  <c r="AX31" i="1"/>
  <c r="AX32" i="1"/>
  <c r="AX33" i="1"/>
  <c r="AX34" i="1"/>
  <c r="AX35" i="1"/>
  <c r="AX20" i="1"/>
  <c r="AX21" i="1"/>
  <c r="AX22" i="1"/>
  <c r="AX23" i="1"/>
  <c r="AX24" i="1"/>
  <c r="AX25" i="1"/>
  <c r="AX26" i="1"/>
  <c r="AX27" i="1"/>
  <c r="AX28" i="1"/>
  <c r="AX29" i="1"/>
  <c r="AX6" i="1"/>
  <c r="AX7" i="1"/>
  <c r="AX8" i="1"/>
  <c r="AX9" i="1"/>
  <c r="AX10" i="1"/>
  <c r="AX11" i="1"/>
  <c r="AX12" i="1"/>
  <c r="AX13" i="1"/>
  <c r="AX14" i="1"/>
  <c r="AX16" i="1"/>
  <c r="AX17" i="1"/>
  <c r="AX18" i="1"/>
  <c r="AX19" i="1"/>
  <c r="AX5" i="1"/>
  <c r="AA39" i="1"/>
  <c r="AB39" i="1"/>
  <c r="AC39" i="1"/>
  <c r="U59" i="1" s="1"/>
  <c r="AD39" i="1"/>
  <c r="AE39" i="1"/>
  <c r="W59" i="1" s="1"/>
  <c r="AA41" i="1"/>
  <c r="AB41" i="1"/>
  <c r="AC41" i="1"/>
  <c r="AD41" i="1"/>
  <c r="AE41" i="1"/>
  <c r="W61" i="1" s="1"/>
  <c r="AA42" i="1"/>
  <c r="AB42" i="1"/>
  <c r="AC42" i="1"/>
  <c r="AD42" i="1"/>
  <c r="AE42" i="1"/>
  <c r="W62" i="1" s="1"/>
  <c r="AA43" i="1"/>
  <c r="AB43" i="1"/>
  <c r="AC43" i="1"/>
  <c r="AD43" i="1"/>
  <c r="AE43" i="1"/>
  <c r="W63" i="1" s="1"/>
  <c r="AA44" i="1"/>
  <c r="AB44" i="1"/>
  <c r="AC44" i="1"/>
  <c r="AD44" i="1"/>
  <c r="AE44" i="1"/>
  <c r="W64" i="1" s="1"/>
  <c r="AA45" i="1"/>
  <c r="AB45" i="1"/>
  <c r="AC45" i="1"/>
  <c r="AD45" i="1"/>
  <c r="AE45" i="1"/>
  <c r="W65" i="1" s="1"/>
  <c r="AA46" i="1"/>
  <c r="AB46" i="1"/>
  <c r="AC46" i="1"/>
  <c r="AD46" i="1"/>
  <c r="AE46" i="1"/>
  <c r="W66" i="1" s="1"/>
  <c r="AA47" i="1"/>
  <c r="AB47" i="1"/>
  <c r="AC47" i="1"/>
  <c r="AD47" i="1"/>
  <c r="AE47" i="1"/>
  <c r="W67" i="1" s="1"/>
  <c r="AA49" i="1"/>
  <c r="AB49" i="1"/>
  <c r="AC49" i="1"/>
  <c r="AD49" i="1"/>
  <c r="AE49" i="1"/>
  <c r="W69" i="1" s="1"/>
  <c r="AA50" i="1"/>
  <c r="AB50" i="1"/>
  <c r="AC50" i="1"/>
  <c r="AD50" i="1"/>
  <c r="AE50" i="1"/>
  <c r="W70" i="1" s="1"/>
  <c r="AA51" i="1"/>
  <c r="AB51" i="1"/>
  <c r="AC51" i="1"/>
  <c r="AD51" i="1"/>
  <c r="AE51" i="1"/>
  <c r="W71" i="1" s="1"/>
  <c r="AA52" i="1"/>
  <c r="AB52" i="1"/>
  <c r="AC52" i="1"/>
  <c r="AD52" i="1"/>
  <c r="AE52" i="1"/>
  <c r="W72" i="1" s="1"/>
  <c r="AA53" i="1"/>
  <c r="AB53" i="1"/>
  <c r="AC53" i="1"/>
  <c r="U73" i="1" s="1"/>
  <c r="AD53" i="1"/>
  <c r="AE53" i="1"/>
  <c r="W73" i="1" s="1"/>
  <c r="AA54" i="1"/>
  <c r="AB54" i="1"/>
  <c r="AC54" i="1"/>
  <c r="AD54" i="1"/>
  <c r="AE54" i="1"/>
  <c r="W74" i="1" s="1"/>
  <c r="W39" i="1"/>
  <c r="X39" i="1"/>
  <c r="Y39" i="1"/>
  <c r="Z39" i="1"/>
  <c r="W41" i="1"/>
  <c r="X41" i="1"/>
  <c r="Y41" i="1"/>
  <c r="Z41" i="1"/>
  <c r="W42" i="1"/>
  <c r="X42" i="1"/>
  <c r="Y42" i="1"/>
  <c r="Z42" i="1"/>
  <c r="W43" i="1"/>
  <c r="X43" i="1"/>
  <c r="Y43" i="1"/>
  <c r="Z43" i="1"/>
  <c r="W44" i="1"/>
  <c r="X44" i="1"/>
  <c r="Y44" i="1"/>
  <c r="Z44" i="1"/>
  <c r="W45" i="1"/>
  <c r="X45" i="1"/>
  <c r="Y45" i="1"/>
  <c r="Z45" i="1"/>
  <c r="W46" i="1"/>
  <c r="X46" i="1"/>
  <c r="Y46" i="1"/>
  <c r="Z46" i="1"/>
  <c r="W47" i="1"/>
  <c r="X47" i="1"/>
  <c r="Y47" i="1"/>
  <c r="Z47" i="1"/>
  <c r="W49" i="1"/>
  <c r="X49" i="1"/>
  <c r="Y49" i="1"/>
  <c r="Z49" i="1"/>
  <c r="W50" i="1"/>
  <c r="X50" i="1"/>
  <c r="Y50" i="1"/>
  <c r="Z50" i="1"/>
  <c r="W51" i="1"/>
  <c r="X51" i="1"/>
  <c r="Y51" i="1"/>
  <c r="Z51" i="1"/>
  <c r="W52" i="1"/>
  <c r="X52" i="1"/>
  <c r="Y52" i="1"/>
  <c r="Z52" i="1"/>
  <c r="W53" i="1"/>
  <c r="X53" i="1"/>
  <c r="Y53" i="1"/>
  <c r="Z53" i="1"/>
  <c r="W54" i="1"/>
  <c r="X54" i="1"/>
  <c r="Y54" i="1"/>
  <c r="Z54" i="1"/>
  <c r="P39" i="1"/>
  <c r="O59" i="1"/>
  <c r="Q39" i="1"/>
  <c r="R39" i="1"/>
  <c r="S39" i="1"/>
  <c r="T39" i="1"/>
  <c r="U39" i="1"/>
  <c r="V39" i="1"/>
  <c r="P41" i="1"/>
  <c r="O61" i="1" s="1"/>
  <c r="Q41" i="1"/>
  <c r="R41" i="1"/>
  <c r="S41" i="1"/>
  <c r="T41" i="1"/>
  <c r="U41" i="1"/>
  <c r="V41" i="1"/>
  <c r="P42" i="1"/>
  <c r="O62" i="1" s="1"/>
  <c r="Q42" i="1"/>
  <c r="R42" i="1"/>
  <c r="S42" i="1"/>
  <c r="T42" i="1"/>
  <c r="U42" i="1"/>
  <c r="V42" i="1"/>
  <c r="P43" i="1"/>
  <c r="O63" i="1" s="1"/>
  <c r="Q43" i="1"/>
  <c r="R43" i="1"/>
  <c r="S43" i="1"/>
  <c r="T43" i="1"/>
  <c r="U43" i="1"/>
  <c r="V43" i="1"/>
  <c r="P44" i="1"/>
  <c r="O64" i="1" s="1"/>
  <c r="Q44" i="1"/>
  <c r="R44" i="1"/>
  <c r="S44" i="1"/>
  <c r="T44" i="1"/>
  <c r="U44" i="1"/>
  <c r="V44" i="1"/>
  <c r="P45" i="1"/>
  <c r="O65" i="1" s="1"/>
  <c r="Q45" i="1"/>
  <c r="R45" i="1"/>
  <c r="S45" i="1"/>
  <c r="T45" i="1"/>
  <c r="U45" i="1"/>
  <c r="V45" i="1"/>
  <c r="P46" i="1"/>
  <c r="O66" i="1" s="1"/>
  <c r="B66" i="1" s="1"/>
  <c r="Q46" i="1"/>
  <c r="R46" i="1"/>
  <c r="S46" i="1"/>
  <c r="T46" i="1"/>
  <c r="U46" i="1"/>
  <c r="V46" i="1"/>
  <c r="P47" i="1"/>
  <c r="O67" i="1" s="1"/>
  <c r="B67" i="1" s="1"/>
  <c r="Q47" i="1"/>
  <c r="R47" i="1"/>
  <c r="S47" i="1"/>
  <c r="T47" i="1"/>
  <c r="U47" i="1"/>
  <c r="V47" i="1"/>
  <c r="O68" i="1"/>
  <c r="P49" i="1"/>
  <c r="O69" i="1" s="1"/>
  <c r="Q49" i="1"/>
  <c r="R49" i="1"/>
  <c r="S49" i="1"/>
  <c r="T49" i="1"/>
  <c r="U49" i="1"/>
  <c r="V49" i="1"/>
  <c r="P50" i="1"/>
  <c r="O70" i="1"/>
  <c r="Q50" i="1"/>
  <c r="R50" i="1"/>
  <c r="S50" i="1"/>
  <c r="T50" i="1"/>
  <c r="U50" i="1"/>
  <c r="V50" i="1"/>
  <c r="P51" i="1"/>
  <c r="O71" i="1"/>
  <c r="Q51" i="1"/>
  <c r="R51" i="1"/>
  <c r="S51" i="1"/>
  <c r="T51" i="1"/>
  <c r="U51" i="1"/>
  <c r="V51" i="1"/>
  <c r="P52" i="1"/>
  <c r="O72" i="1"/>
  <c r="Q52" i="1"/>
  <c r="R52" i="1"/>
  <c r="S52" i="1"/>
  <c r="T52" i="1"/>
  <c r="U52" i="1"/>
  <c r="V52" i="1"/>
  <c r="P53" i="1"/>
  <c r="O73" i="1"/>
  <c r="Q53" i="1"/>
  <c r="R53" i="1"/>
  <c r="S53" i="1"/>
  <c r="T53" i="1"/>
  <c r="U53" i="1"/>
  <c r="V53" i="1"/>
  <c r="P54" i="1"/>
  <c r="O74" i="1"/>
  <c r="Q54" i="1"/>
  <c r="R54" i="1"/>
  <c r="S54" i="1"/>
  <c r="T54" i="1"/>
  <c r="U54" i="1"/>
  <c r="V54" i="1"/>
  <c r="D39" i="1"/>
  <c r="E39" i="1"/>
  <c r="F39" i="1"/>
  <c r="G39" i="1"/>
  <c r="H39" i="1"/>
  <c r="I39" i="1"/>
  <c r="J39" i="1"/>
  <c r="K39" i="1"/>
  <c r="J59" i="1" s="1"/>
  <c r="L39" i="1"/>
  <c r="K59" i="1" s="1"/>
  <c r="M39" i="1"/>
  <c r="O39" i="1"/>
  <c r="N59" i="1"/>
  <c r="D41" i="1"/>
  <c r="E41" i="1"/>
  <c r="F41" i="1"/>
  <c r="G41" i="1"/>
  <c r="H41" i="1"/>
  <c r="I41" i="1"/>
  <c r="J41" i="1"/>
  <c r="K41" i="1"/>
  <c r="J61" i="1" s="1"/>
  <c r="L41" i="1"/>
  <c r="K61" i="1" s="1"/>
  <c r="M41" i="1"/>
  <c r="O41" i="1"/>
  <c r="N61" i="1" s="1"/>
  <c r="D42" i="1"/>
  <c r="E42" i="1"/>
  <c r="F42" i="1"/>
  <c r="G42" i="1"/>
  <c r="H42" i="1"/>
  <c r="I42" i="1"/>
  <c r="J42" i="1"/>
  <c r="K42" i="1"/>
  <c r="J62" i="1" s="1"/>
  <c r="L42" i="1"/>
  <c r="K62" i="1" s="1"/>
  <c r="M42" i="1"/>
  <c r="O42" i="1"/>
  <c r="N62" i="1" s="1"/>
  <c r="D43" i="1"/>
  <c r="E43" i="1"/>
  <c r="F43" i="1"/>
  <c r="G43" i="1"/>
  <c r="H43" i="1"/>
  <c r="I43" i="1"/>
  <c r="J43" i="1"/>
  <c r="K43" i="1"/>
  <c r="J63" i="1" s="1"/>
  <c r="L43" i="1"/>
  <c r="K63" i="1" s="1"/>
  <c r="M43" i="1"/>
  <c r="O43" i="1"/>
  <c r="N63" i="1" s="1"/>
  <c r="D44" i="1"/>
  <c r="E44" i="1"/>
  <c r="F44" i="1"/>
  <c r="G44" i="1"/>
  <c r="F64" i="1" s="1"/>
  <c r="H44" i="1"/>
  <c r="I44" i="1"/>
  <c r="J44" i="1"/>
  <c r="K44" i="1"/>
  <c r="J64" i="1" s="1"/>
  <c r="L44" i="1"/>
  <c r="K64" i="1" s="1"/>
  <c r="M44" i="1"/>
  <c r="O44" i="1"/>
  <c r="N64" i="1" s="1"/>
  <c r="D45" i="1"/>
  <c r="E45" i="1"/>
  <c r="D65" i="1" s="1"/>
  <c r="F45" i="1"/>
  <c r="G45" i="1"/>
  <c r="F65" i="1" s="1"/>
  <c r="H45" i="1"/>
  <c r="I45" i="1"/>
  <c r="J45" i="1"/>
  <c r="K45" i="1"/>
  <c r="J65" i="1" s="1"/>
  <c r="L45" i="1"/>
  <c r="K65" i="1" s="1"/>
  <c r="M45" i="1"/>
  <c r="O45" i="1"/>
  <c r="N65" i="1" s="1"/>
  <c r="D46" i="1"/>
  <c r="E46" i="1"/>
  <c r="F46" i="1"/>
  <c r="G46" i="1"/>
  <c r="F66" i="1" s="1"/>
  <c r="H46" i="1"/>
  <c r="I46" i="1"/>
  <c r="J46" i="1"/>
  <c r="K46" i="1"/>
  <c r="J66" i="1" s="1"/>
  <c r="L46" i="1"/>
  <c r="K66" i="1" s="1"/>
  <c r="M46" i="1"/>
  <c r="O46" i="1"/>
  <c r="N66" i="1" s="1"/>
  <c r="D47" i="1"/>
  <c r="E47" i="1"/>
  <c r="F47" i="1"/>
  <c r="G47" i="1"/>
  <c r="H47" i="1"/>
  <c r="I47" i="1"/>
  <c r="J47" i="1"/>
  <c r="K47" i="1"/>
  <c r="J67" i="1" s="1"/>
  <c r="L47" i="1"/>
  <c r="K67" i="1" s="1"/>
  <c r="M47" i="1"/>
  <c r="O47" i="1"/>
  <c r="N67" i="1" s="1"/>
  <c r="K68" i="1"/>
  <c r="N68" i="1"/>
  <c r="D49" i="1"/>
  <c r="E49" i="1"/>
  <c r="F49" i="1"/>
  <c r="G49" i="1"/>
  <c r="H49" i="1"/>
  <c r="I49" i="1"/>
  <c r="J49" i="1"/>
  <c r="K49" i="1"/>
  <c r="J69" i="1" s="1"/>
  <c r="L49" i="1"/>
  <c r="K69" i="1" s="1"/>
  <c r="M49" i="1"/>
  <c r="O49" i="1"/>
  <c r="N69" i="1"/>
  <c r="D50" i="1"/>
  <c r="E50" i="1"/>
  <c r="F50" i="1"/>
  <c r="G50" i="1"/>
  <c r="H50" i="1"/>
  <c r="I50" i="1"/>
  <c r="J50" i="1"/>
  <c r="K50" i="1"/>
  <c r="J70" i="1" s="1"/>
  <c r="L50" i="1"/>
  <c r="K70" i="1" s="1"/>
  <c r="M50" i="1"/>
  <c r="O50" i="1"/>
  <c r="N70" i="1"/>
  <c r="D51" i="1"/>
  <c r="E51" i="1"/>
  <c r="F51" i="1"/>
  <c r="G51" i="1"/>
  <c r="H51" i="1"/>
  <c r="I51" i="1"/>
  <c r="J51" i="1"/>
  <c r="K51" i="1"/>
  <c r="J71" i="1" s="1"/>
  <c r="L51" i="1"/>
  <c r="K71" i="1" s="1"/>
  <c r="M51" i="1"/>
  <c r="O51" i="1"/>
  <c r="N71" i="1" s="1"/>
  <c r="D52" i="1"/>
  <c r="E52" i="1"/>
  <c r="F52" i="1"/>
  <c r="G52" i="1"/>
  <c r="H52" i="1"/>
  <c r="I52" i="1"/>
  <c r="J52" i="1"/>
  <c r="K52" i="1"/>
  <c r="J72" i="1" s="1"/>
  <c r="L52" i="1"/>
  <c r="K72" i="1" s="1"/>
  <c r="M52" i="1"/>
  <c r="O52" i="1"/>
  <c r="N72" i="1" s="1"/>
  <c r="D53" i="1"/>
  <c r="E53" i="1"/>
  <c r="F53" i="1"/>
  <c r="G53" i="1"/>
  <c r="H53" i="1"/>
  <c r="I53" i="1"/>
  <c r="J53" i="1"/>
  <c r="K53" i="1"/>
  <c r="J73" i="1" s="1"/>
  <c r="L53" i="1"/>
  <c r="K73" i="1" s="1"/>
  <c r="M53" i="1"/>
  <c r="O53" i="1"/>
  <c r="N73" i="1" s="1"/>
  <c r="D54" i="1"/>
  <c r="E54" i="1"/>
  <c r="F54" i="1"/>
  <c r="G54" i="1"/>
  <c r="F74" i="1" s="1"/>
  <c r="H54" i="1"/>
  <c r="I54" i="1"/>
  <c r="J54" i="1"/>
  <c r="K54" i="1"/>
  <c r="J74" i="1" s="1"/>
  <c r="L54" i="1"/>
  <c r="K74" i="1" s="1"/>
  <c r="M54" i="1"/>
  <c r="O54" i="1"/>
  <c r="N74" i="1" s="1"/>
  <c r="C54" i="1"/>
  <c r="C53" i="1"/>
  <c r="B73" i="1" s="1"/>
  <c r="C52" i="1"/>
  <c r="B72" i="1" s="1"/>
  <c r="C51" i="1"/>
  <c r="B71" i="1" s="1"/>
  <c r="C50" i="1"/>
  <c r="B70" i="1" s="1"/>
  <c r="C49" i="1"/>
  <c r="C47" i="1"/>
  <c r="C46" i="1"/>
  <c r="C45" i="1"/>
  <c r="C44" i="1"/>
  <c r="C43" i="1"/>
  <c r="C42" i="1"/>
  <c r="C41" i="1"/>
  <c r="C39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16" i="1"/>
  <c r="BH17" i="1"/>
  <c r="BH18" i="1"/>
  <c r="BH19" i="1"/>
  <c r="BH20" i="1"/>
  <c r="BH21" i="1"/>
  <c r="BH22" i="1"/>
  <c r="BH23" i="1"/>
  <c r="BH6" i="1"/>
  <c r="BH7" i="1"/>
  <c r="BH8" i="1"/>
  <c r="BH9" i="1"/>
  <c r="BH10" i="1"/>
  <c r="BH11" i="1"/>
  <c r="BH12" i="1"/>
  <c r="BH13" i="1"/>
  <c r="BH14" i="1"/>
  <c r="BH5" i="1"/>
  <c r="AV7" i="1"/>
  <c r="AY7" i="1"/>
  <c r="AZ7" i="1"/>
  <c r="BA7" i="1"/>
  <c r="BB7" i="1"/>
  <c r="BC7" i="1"/>
  <c r="BD7" i="1"/>
  <c r="BF7" i="1"/>
  <c r="BG7" i="1"/>
  <c r="BI7" i="1"/>
  <c r="AV8" i="1"/>
  <c r="AW8" i="1"/>
  <c r="AY8" i="1"/>
  <c r="AZ8" i="1"/>
  <c r="BA8" i="1"/>
  <c r="BB8" i="1"/>
  <c r="BC8" i="1"/>
  <c r="BD8" i="1"/>
  <c r="BF8" i="1"/>
  <c r="BG8" i="1"/>
  <c r="BI8" i="1"/>
  <c r="AV9" i="1"/>
  <c r="AW9" i="1"/>
  <c r="AY9" i="1"/>
  <c r="AZ9" i="1"/>
  <c r="BA9" i="1"/>
  <c r="BB9" i="1"/>
  <c r="BC9" i="1"/>
  <c r="BD9" i="1"/>
  <c r="BF9" i="1"/>
  <c r="BG9" i="1"/>
  <c r="BI9" i="1"/>
  <c r="AV10" i="1"/>
  <c r="AW10" i="1"/>
  <c r="AY10" i="1"/>
  <c r="AZ10" i="1"/>
  <c r="BA10" i="1"/>
  <c r="BB10" i="1"/>
  <c r="BC10" i="1"/>
  <c r="BD10" i="1"/>
  <c r="BF10" i="1"/>
  <c r="BG10" i="1"/>
  <c r="BI10" i="1"/>
  <c r="AV11" i="1"/>
  <c r="AW11" i="1"/>
  <c r="AY11" i="1"/>
  <c r="AZ11" i="1"/>
  <c r="BA11" i="1"/>
  <c r="BB11" i="1"/>
  <c r="BC11" i="1"/>
  <c r="BD11" i="1"/>
  <c r="BF11" i="1"/>
  <c r="BG11" i="1"/>
  <c r="BI11" i="1"/>
  <c r="AV12" i="1"/>
  <c r="AW12" i="1"/>
  <c r="AY12" i="1"/>
  <c r="AZ12" i="1"/>
  <c r="BA12" i="1"/>
  <c r="BB12" i="1"/>
  <c r="BC12" i="1"/>
  <c r="BD12" i="1"/>
  <c r="BF12" i="1"/>
  <c r="BG12" i="1"/>
  <c r="BI12" i="1"/>
  <c r="AV13" i="1"/>
  <c r="AW13" i="1"/>
  <c r="AY13" i="1"/>
  <c r="AZ13" i="1"/>
  <c r="BA13" i="1"/>
  <c r="BB13" i="1"/>
  <c r="BC13" i="1"/>
  <c r="BD13" i="1"/>
  <c r="BF13" i="1"/>
  <c r="BG13" i="1"/>
  <c r="BI13" i="1"/>
  <c r="AV14" i="1"/>
  <c r="AW14" i="1"/>
  <c r="AY14" i="1"/>
  <c r="AZ14" i="1"/>
  <c r="BA14" i="1"/>
  <c r="BB14" i="1"/>
  <c r="BC14" i="1"/>
  <c r="BD14" i="1"/>
  <c r="BF14" i="1"/>
  <c r="BG14" i="1"/>
  <c r="BI14" i="1"/>
  <c r="AV16" i="1"/>
  <c r="AW16" i="1"/>
  <c r="AY16" i="1"/>
  <c r="AZ16" i="1"/>
  <c r="BA16" i="1"/>
  <c r="BB16" i="1"/>
  <c r="BC16" i="1"/>
  <c r="BD16" i="1"/>
  <c r="BF16" i="1"/>
  <c r="BG16" i="1"/>
  <c r="BI16" i="1"/>
  <c r="AV17" i="1"/>
  <c r="AW17" i="1"/>
  <c r="AY17" i="1"/>
  <c r="AZ17" i="1"/>
  <c r="BA17" i="1"/>
  <c r="BB17" i="1"/>
  <c r="BC17" i="1"/>
  <c r="BD17" i="1"/>
  <c r="BF17" i="1"/>
  <c r="BG17" i="1"/>
  <c r="BI17" i="1"/>
  <c r="AV18" i="1"/>
  <c r="AW18" i="1"/>
  <c r="AY18" i="1"/>
  <c r="AZ18" i="1"/>
  <c r="BA18" i="1"/>
  <c r="BB18" i="1"/>
  <c r="BC18" i="1"/>
  <c r="BD18" i="1"/>
  <c r="BF18" i="1"/>
  <c r="BG18" i="1"/>
  <c r="BI18" i="1"/>
  <c r="AV19" i="1"/>
  <c r="AW19" i="1"/>
  <c r="AY19" i="1"/>
  <c r="AZ19" i="1"/>
  <c r="BA19" i="1"/>
  <c r="BB19" i="1"/>
  <c r="BC19" i="1"/>
  <c r="BD19" i="1"/>
  <c r="BF19" i="1"/>
  <c r="BG19" i="1"/>
  <c r="BI19" i="1"/>
  <c r="AV20" i="1"/>
  <c r="AW20" i="1"/>
  <c r="AY20" i="1"/>
  <c r="AZ20" i="1"/>
  <c r="BA20" i="1"/>
  <c r="BB20" i="1"/>
  <c r="BC20" i="1"/>
  <c r="BD20" i="1"/>
  <c r="BF20" i="1"/>
  <c r="BG20" i="1"/>
  <c r="BI20" i="1"/>
  <c r="AV21" i="1"/>
  <c r="AW21" i="1"/>
  <c r="AY21" i="1"/>
  <c r="AZ21" i="1"/>
  <c r="BA21" i="1"/>
  <c r="BB21" i="1"/>
  <c r="BC21" i="1"/>
  <c r="BD21" i="1"/>
  <c r="BF21" i="1"/>
  <c r="BG21" i="1"/>
  <c r="BI21" i="1"/>
  <c r="AV22" i="1"/>
  <c r="AW22" i="1"/>
  <c r="AY22" i="1"/>
  <c r="AZ22" i="1"/>
  <c r="BA22" i="1"/>
  <c r="BB22" i="1"/>
  <c r="BC22" i="1"/>
  <c r="BD22" i="1"/>
  <c r="BF22" i="1"/>
  <c r="BG22" i="1"/>
  <c r="BI22" i="1"/>
  <c r="AV23" i="1"/>
  <c r="AW23" i="1"/>
  <c r="AY23" i="1"/>
  <c r="AZ23" i="1"/>
  <c r="BA23" i="1"/>
  <c r="BB23" i="1"/>
  <c r="BC23" i="1"/>
  <c r="BD23" i="1"/>
  <c r="BF23" i="1"/>
  <c r="BG23" i="1"/>
  <c r="BI23" i="1"/>
  <c r="AV24" i="1"/>
  <c r="AW24" i="1"/>
  <c r="AY24" i="1"/>
  <c r="AZ24" i="1"/>
  <c r="BA24" i="1"/>
  <c r="BB24" i="1"/>
  <c r="BC24" i="1"/>
  <c r="BD24" i="1"/>
  <c r="BF24" i="1"/>
  <c r="BG24" i="1"/>
  <c r="BI24" i="1"/>
  <c r="AV25" i="1"/>
  <c r="AW25" i="1"/>
  <c r="AY25" i="1"/>
  <c r="AZ25" i="1"/>
  <c r="BA25" i="1"/>
  <c r="BB25" i="1"/>
  <c r="BC25" i="1"/>
  <c r="BD25" i="1"/>
  <c r="BF25" i="1"/>
  <c r="BG25" i="1"/>
  <c r="BI25" i="1"/>
  <c r="AV26" i="1"/>
  <c r="AW26" i="1"/>
  <c r="AY26" i="1"/>
  <c r="AZ26" i="1"/>
  <c r="BA26" i="1"/>
  <c r="BB26" i="1"/>
  <c r="BC26" i="1"/>
  <c r="BD26" i="1"/>
  <c r="BF26" i="1"/>
  <c r="BG26" i="1"/>
  <c r="BI26" i="1"/>
  <c r="AV27" i="1"/>
  <c r="AW27" i="1"/>
  <c r="AY27" i="1"/>
  <c r="AZ27" i="1"/>
  <c r="BA27" i="1"/>
  <c r="BB27" i="1"/>
  <c r="BC27" i="1"/>
  <c r="BD27" i="1"/>
  <c r="BF27" i="1"/>
  <c r="BG27" i="1"/>
  <c r="BI27" i="1"/>
  <c r="AV28" i="1"/>
  <c r="AW28" i="1"/>
  <c r="AY28" i="1"/>
  <c r="AZ28" i="1"/>
  <c r="BA28" i="1"/>
  <c r="BB28" i="1"/>
  <c r="BC28" i="1"/>
  <c r="BD28" i="1"/>
  <c r="BF28" i="1"/>
  <c r="BG28" i="1"/>
  <c r="BI28" i="1"/>
  <c r="AV29" i="1"/>
  <c r="AW29" i="1"/>
  <c r="AY29" i="1"/>
  <c r="AZ29" i="1"/>
  <c r="BA29" i="1"/>
  <c r="BB29" i="1"/>
  <c r="BC29" i="1"/>
  <c r="BD29" i="1"/>
  <c r="BF29" i="1"/>
  <c r="BG29" i="1"/>
  <c r="BI29" i="1"/>
  <c r="AV30" i="1"/>
  <c r="AW30" i="1"/>
  <c r="AY30" i="1"/>
  <c r="AZ30" i="1"/>
  <c r="BA30" i="1"/>
  <c r="BB30" i="1"/>
  <c r="BC30" i="1"/>
  <c r="BD30" i="1"/>
  <c r="BF30" i="1"/>
  <c r="BG30" i="1"/>
  <c r="BI30" i="1"/>
  <c r="AV31" i="1"/>
  <c r="AW31" i="1"/>
  <c r="AY31" i="1"/>
  <c r="AZ31" i="1"/>
  <c r="BA31" i="1"/>
  <c r="BB31" i="1"/>
  <c r="BC31" i="1"/>
  <c r="BD31" i="1"/>
  <c r="BF31" i="1"/>
  <c r="BG31" i="1"/>
  <c r="BI31" i="1"/>
  <c r="AV32" i="1"/>
  <c r="AW32" i="1"/>
  <c r="AY32" i="1"/>
  <c r="AZ32" i="1"/>
  <c r="BA32" i="1"/>
  <c r="BB32" i="1"/>
  <c r="BC32" i="1"/>
  <c r="BD32" i="1"/>
  <c r="BF32" i="1"/>
  <c r="BG32" i="1"/>
  <c r="BI32" i="1"/>
  <c r="AV33" i="1"/>
  <c r="AW33" i="1"/>
  <c r="AY33" i="1"/>
  <c r="AZ33" i="1"/>
  <c r="BA33" i="1"/>
  <c r="BB33" i="1"/>
  <c r="BC33" i="1"/>
  <c r="BD33" i="1"/>
  <c r="BF33" i="1"/>
  <c r="BG33" i="1"/>
  <c r="BI33" i="1"/>
  <c r="AV34" i="1"/>
  <c r="AW34" i="1"/>
  <c r="AY34" i="1"/>
  <c r="AZ34" i="1"/>
  <c r="BA34" i="1"/>
  <c r="BB34" i="1"/>
  <c r="BC34" i="1"/>
  <c r="BD34" i="1"/>
  <c r="BF34" i="1"/>
  <c r="BG34" i="1"/>
  <c r="BI34" i="1"/>
  <c r="AW35" i="1"/>
  <c r="AY35" i="1"/>
  <c r="AZ35" i="1"/>
  <c r="BA35" i="1"/>
  <c r="BB35" i="1"/>
  <c r="BC35" i="1"/>
  <c r="BD35" i="1"/>
  <c r="BF35" i="1"/>
  <c r="BG35" i="1"/>
  <c r="BI35" i="1"/>
  <c r="AV6" i="1"/>
  <c r="AW6" i="1"/>
  <c r="AY6" i="1"/>
  <c r="AZ6" i="1"/>
  <c r="BA6" i="1"/>
  <c r="BB6" i="1"/>
  <c r="BC6" i="1"/>
  <c r="BD6" i="1"/>
  <c r="BF6" i="1"/>
  <c r="BG6" i="1"/>
  <c r="BI6" i="1"/>
  <c r="AV5" i="1"/>
  <c r="BA5" i="1"/>
  <c r="AZ5" i="1"/>
  <c r="AW5" i="1"/>
  <c r="BD5" i="1"/>
  <c r="BC5" i="1"/>
  <c r="BB5" i="1"/>
  <c r="AY5" i="1"/>
  <c r="BF5" i="1"/>
  <c r="BG5" i="1"/>
  <c r="P61" i="1"/>
  <c r="U63" i="1"/>
  <c r="U72" i="1"/>
  <c r="U65" i="1"/>
  <c r="U68" i="1"/>
  <c r="D68" i="1"/>
  <c r="U71" i="1"/>
  <c r="U74" i="1"/>
  <c r="U61" i="1"/>
  <c r="U64" i="1"/>
  <c r="U67" i="1"/>
  <c r="U66" i="1"/>
  <c r="U69" i="1"/>
  <c r="U62" i="1"/>
  <c r="U70" i="1"/>
  <c r="P71" i="1"/>
  <c r="D60" i="1"/>
  <c r="P66" i="1"/>
  <c r="P64" i="1"/>
  <c r="P73" i="1"/>
  <c r="P68" i="1"/>
  <c r="P72" i="1"/>
  <c r="P65" i="1"/>
  <c r="P74" i="1"/>
  <c r="P70" i="1"/>
  <c r="P63" i="1"/>
  <c r="P67" i="1"/>
  <c r="P59" i="1"/>
  <c r="P62" i="1"/>
  <c r="N46" i="1"/>
  <c r="N39" i="1"/>
  <c r="N44" i="1"/>
  <c r="N49" i="1"/>
  <c r="N51" i="1"/>
  <c r="N42" i="1"/>
  <c r="N43" i="1"/>
  <c r="N47" i="1"/>
  <c r="N52" i="1"/>
  <c r="L68" i="1"/>
  <c r="N50" i="1"/>
  <c r="N41" i="1"/>
  <c r="N54" i="1"/>
  <c r="N45" i="1"/>
  <c r="N53" i="1"/>
  <c r="N40" i="1"/>
  <c r="AY15" i="1"/>
  <c r="K14" i="6"/>
  <c r="AZ15" i="1"/>
  <c r="AW15" i="1"/>
  <c r="BH15" i="1"/>
  <c r="BI15" i="1"/>
  <c r="BG15" i="1"/>
  <c r="AV15" i="1"/>
  <c r="BF15" i="1"/>
  <c r="BD15" i="1"/>
  <c r="BC15" i="1"/>
  <c r="BA15" i="1"/>
  <c r="AX15" i="1"/>
  <c r="BB15" i="1"/>
  <c r="B74" i="1" l="1"/>
  <c r="P69" i="1"/>
  <c r="P60" i="1"/>
  <c r="H64" i="1"/>
  <c r="L64" i="1"/>
  <c r="H74" i="1"/>
  <c r="L74" i="1"/>
  <c r="D64" i="1"/>
  <c r="H65" i="1"/>
  <c r="B68" i="1"/>
  <c r="L65" i="1"/>
  <c r="B69" i="1"/>
  <c r="D66" i="1"/>
  <c r="L60" i="1"/>
  <c r="F59" i="1"/>
  <c r="H59" i="1"/>
  <c r="L59" i="1"/>
  <c r="F61" i="1"/>
  <c r="H61" i="1"/>
  <c r="L61" i="1"/>
  <c r="F62" i="1"/>
  <c r="H62" i="1"/>
  <c r="L62" i="1"/>
  <c r="D63" i="1"/>
  <c r="F63" i="1"/>
  <c r="H63" i="1"/>
  <c r="L63" i="1"/>
  <c r="H66" i="1"/>
  <c r="L66" i="1"/>
  <c r="D67" i="1"/>
  <c r="F67" i="1"/>
  <c r="H67" i="1"/>
  <c r="L67" i="1"/>
  <c r="D69" i="1"/>
  <c r="F69" i="1"/>
  <c r="H69" i="1"/>
  <c r="L69" i="1"/>
  <c r="D70" i="1"/>
  <c r="F70" i="1"/>
  <c r="H70" i="1"/>
  <c r="L70" i="1"/>
  <c r="D71" i="1"/>
  <c r="F71" i="1"/>
  <c r="H71" i="1"/>
  <c r="L71" i="1"/>
  <c r="D72" i="1"/>
  <c r="F72" i="1"/>
  <c r="H72" i="1"/>
  <c r="L72" i="1"/>
  <c r="D73" i="1"/>
  <c r="F73" i="1"/>
  <c r="H73" i="1"/>
  <c r="L73" i="1"/>
  <c r="D74" i="1"/>
  <c r="B65" i="1"/>
  <c r="B64" i="1"/>
  <c r="B63" i="1"/>
  <c r="B62" i="1"/>
  <c r="B61" i="1"/>
  <c r="B59" i="1"/>
  <c r="B60" i="1"/>
  <c r="D59" i="1"/>
  <c r="D61" i="1"/>
  <c r="D62" i="1"/>
</calcChain>
</file>

<file path=xl/sharedStrings.xml><?xml version="1.0" encoding="utf-8"?>
<sst xmlns="http://schemas.openxmlformats.org/spreadsheetml/2006/main" count="1301" uniqueCount="96">
  <si>
    <t>DATA</t>
  </si>
  <si>
    <t>AMBU MATTINA</t>
  </si>
  <si>
    <t>REPARTO</t>
  </si>
  <si>
    <t>PS</t>
  </si>
  <si>
    <t>BALDELLI</t>
  </si>
  <si>
    <t>DH</t>
  </si>
  <si>
    <t>CON</t>
  </si>
  <si>
    <t>SALA DS</t>
  </si>
  <si>
    <t>NORA</t>
  </si>
  <si>
    <t>S.M.</t>
  </si>
  <si>
    <t>SALA MATTINA</t>
  </si>
  <si>
    <t>SALA POMERIG</t>
  </si>
  <si>
    <t>AMBU POME</t>
  </si>
  <si>
    <t>CONT ASS+ REP</t>
  </si>
  <si>
    <t>2°</t>
  </si>
  <si>
    <t>FERIE</t>
  </si>
  <si>
    <t>IN FERIE</t>
  </si>
  <si>
    <t>REP</t>
  </si>
  <si>
    <t>NON DISPONIBILE</t>
  </si>
  <si>
    <t>8-14</t>
  </si>
  <si>
    <t>14-19</t>
  </si>
  <si>
    <t>14-20
20-08</t>
  </si>
  <si>
    <t>14-20</t>
  </si>
  <si>
    <t>20-8</t>
  </si>
  <si>
    <t>SENZA TURNO ASSEGNATO</t>
  </si>
  <si>
    <t>FUM</t>
  </si>
  <si>
    <t>PAS</t>
  </si>
  <si>
    <t>DON</t>
  </si>
  <si>
    <t>MAS</t>
  </si>
  <si>
    <t>COS</t>
  </si>
  <si>
    <t>RUS</t>
  </si>
  <si>
    <t>MIC</t>
  </si>
  <si>
    <t>BON</t>
  </si>
  <si>
    <t>CUR</t>
  </si>
  <si>
    <t>BUR</t>
  </si>
  <si>
    <t>RUZ</t>
  </si>
  <si>
    <t>OGG</t>
  </si>
  <si>
    <t>SES</t>
  </si>
  <si>
    <t>DES</t>
  </si>
  <si>
    <t>LAM</t>
  </si>
  <si>
    <t>MAG</t>
  </si>
  <si>
    <t>SAN</t>
  </si>
  <si>
    <t>S</t>
  </si>
  <si>
    <t>D</t>
  </si>
  <si>
    <t>AMBULATORI</t>
  </si>
  <si>
    <t>SALA OPERATORIA</t>
  </si>
  <si>
    <t>AMBULATORIO</t>
  </si>
  <si>
    <t>BALD</t>
  </si>
  <si>
    <t>CONT+REP PS</t>
  </si>
  <si>
    <t>2° REP</t>
  </si>
  <si>
    <t xml:space="preserve">FERIE E ALTRE ATTIVITA’ </t>
  </si>
  <si>
    <t>08 - 14</t>
  </si>
  <si>
    <t>14 - 19</t>
  </si>
  <si>
    <t>14 - 20
14 - 08</t>
  </si>
  <si>
    <t>DESIDERATA</t>
  </si>
  <si>
    <t>PREFERENZA GIORNI DI LAVORO</t>
  </si>
  <si>
    <t>MATTINA</t>
  </si>
  <si>
    <t>POMERIGGIO</t>
  </si>
  <si>
    <t>TURNI FESTIVI</t>
  </si>
  <si>
    <t>WEEK END</t>
  </si>
  <si>
    <t>FESTIVITA'</t>
  </si>
  <si>
    <t>FEBBRAIO 2024</t>
  </si>
  <si>
    <t>MARZO 2024</t>
  </si>
  <si>
    <t>CONS</t>
  </si>
  <si>
    <t>APRILE 2024</t>
  </si>
  <si>
    <t>MAGGIO 2024</t>
  </si>
  <si>
    <t>GIUGNO 2024</t>
  </si>
  <si>
    <t>LUGLIO 2024</t>
  </si>
  <si>
    <t>AGOSTO 2024</t>
  </si>
  <si>
    <t>SETTEMBRE 2024</t>
  </si>
  <si>
    <t>TURNI GENNAIO 2025</t>
  </si>
  <si>
    <t>SAL</t>
  </si>
  <si>
    <t>STUDI</t>
  </si>
  <si>
    <t>POMERIGGI LIBERI</t>
  </si>
  <si>
    <t>L</t>
  </si>
  <si>
    <t>M</t>
  </si>
  <si>
    <t>G</t>
  </si>
  <si>
    <t>V</t>
  </si>
  <si>
    <t>MA</t>
  </si>
  <si>
    <t>SPEC</t>
  </si>
  <si>
    <t>GENNAIO 2025</t>
  </si>
  <si>
    <t>TOTALE</t>
  </si>
  <si>
    <t>TOTALE FESTIVI</t>
  </si>
  <si>
    <t>ROMA</t>
  </si>
  <si>
    <t>X</t>
  </si>
  <si>
    <t>OTTOBRE 2024</t>
  </si>
  <si>
    <t>NOVEMBRE 2024</t>
  </si>
  <si>
    <t>DICEMBRE 2024</t>
  </si>
  <si>
    <t> SES</t>
  </si>
  <si>
    <t> BON</t>
  </si>
  <si>
    <t> PAS</t>
  </si>
  <si>
    <t> DON</t>
  </si>
  <si>
    <t>(RUZ SP)</t>
  </si>
  <si>
    <t>(SES GIAN)</t>
  </si>
  <si>
    <t>PAS (BLS)</t>
  </si>
  <si>
    <t>SES (GIAN)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</si>
</sst>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.5"/>
      <color rgb="FF000000"/>
      <name val="Times New Roman"/>
      <family val="1"/>
    </font>
    <font>
      <sz val="6.5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Times New Roman"/>
      <family val="1"/>
    </font>
    <font>
      <b/>
      <sz val="8"/>
      <color theme="1"/>
      <name val="Times New Roman"/>
      <family val="1"/>
    </font>
    <font>
      <b/>
      <sz val="9"/>
      <color theme="1"/>
      <name val="Times New Roman"/>
      <family val="1"/>
    </font>
    <font>
      <b/>
      <sz val="8"/>
      <color rgb="FF000000"/>
      <name val="Times New Roman"/>
      <family val="1"/>
    </font>
    <font>
      <sz val="8"/>
      <color theme="1"/>
      <name val="Times New Roman"/>
      <family val="1"/>
    </font>
    <font>
      <sz val="8"/>
      <color rgb="FF000000"/>
      <name val="Times New Roman"/>
      <family val="1"/>
    </font>
    <font>
      <sz val="26"/>
      <color theme="1"/>
      <name val="Calibri"/>
      <family val="2"/>
      <scheme val="minor"/>
    </font>
    <font>
      <sz val="6.5"/>
      <color rgb="FFFF0000"/>
      <name val="Times New Roman"/>
      <family val="1"/>
    </font>
    <font>
      <sz val="6.5"/>
      <name val="Times New Roman"/>
      <family val="1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DB100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darkTrellis">
        <fgColor theme="0" tint="-0.2499465926084170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EB9C"/>
        <bgColor rgb="FF000000"/>
      </patternFill>
    </fill>
    <fill>
      <patternFill patternType="solid">
        <fgColor rgb="FFC6EFCE"/>
        <bgColor rgb="FF000000"/>
      </patternFill>
    </fill>
    <fill>
      <patternFill patternType="solid">
        <fgColor rgb="FFBFBFBF"/>
        <bgColor indexed="64"/>
      </patternFill>
    </fill>
    <fill>
      <patternFill patternType="solid">
        <fgColor rgb="FF43A2DF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9">
    <xf numFmtId="0" fontId="0" fillId="0" borderId="0" xfId="0"/>
    <xf numFmtId="0" fontId="0" fillId="2" borderId="0" xfId="0" applyFill="1"/>
    <xf numFmtId="49" fontId="0" fillId="0" borderId="0" xfId="0" applyNumberFormat="1"/>
    <xf numFmtId="0" fontId="1" fillId="3" borderId="0" xfId="0" applyFont="1" applyFill="1"/>
    <xf numFmtId="49" fontId="2" fillId="5" borderId="5" xfId="0" applyNumberFormat="1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0" fillId="10" borderId="0" xfId="0" applyFill="1"/>
    <xf numFmtId="0" fontId="0" fillId="8" borderId="0" xfId="0" applyFill="1"/>
    <xf numFmtId="0" fontId="4" fillId="0" borderId="12" xfId="0" applyFont="1" applyBorder="1"/>
    <xf numFmtId="0" fontId="0" fillId="0" borderId="12" xfId="0" applyBorder="1" applyAlignment="1">
      <alignment horizontal="center"/>
    </xf>
    <xf numFmtId="0" fontId="2" fillId="5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49" fontId="2" fillId="5" borderId="7" xfId="0" applyNumberFormat="1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3" fillId="11" borderId="7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49" fontId="3" fillId="7" borderId="0" xfId="0" applyNumberFormat="1" applyFont="1" applyFill="1" applyAlignment="1">
      <alignment horizontal="center" vertical="center" wrapText="1"/>
    </xf>
    <xf numFmtId="0" fontId="0" fillId="5" borderId="20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4" fillId="0" borderId="0" xfId="0" applyFont="1"/>
    <xf numFmtId="0" fontId="0" fillId="4" borderId="22" xfId="0" applyFill="1" applyBorder="1"/>
    <xf numFmtId="0" fontId="0" fillId="4" borderId="23" xfId="0" applyFill="1" applyBorder="1"/>
    <xf numFmtId="0" fontId="4" fillId="0" borderId="33" xfId="0" applyFont="1" applyBorder="1"/>
    <xf numFmtId="0" fontId="2" fillId="0" borderId="7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15" fillId="0" borderId="0" xfId="0" applyFont="1"/>
    <xf numFmtId="0" fontId="2" fillId="16" borderId="3" xfId="0" applyFont="1" applyFill="1" applyBorder="1" applyAlignment="1">
      <alignment horizontal="center" vertical="center" wrapText="1"/>
    </xf>
    <xf numFmtId="0" fontId="2" fillId="16" borderId="5" xfId="0" applyFont="1" applyFill="1" applyBorder="1" applyAlignment="1">
      <alignment horizontal="center" vertical="center" wrapText="1"/>
    </xf>
    <xf numFmtId="0" fontId="20" fillId="0" borderId="12" xfId="0" applyFont="1" applyBorder="1"/>
    <xf numFmtId="0" fontId="15" fillId="0" borderId="38" xfId="0" applyFont="1" applyBorder="1" applyAlignment="1">
      <alignment horizontal="center"/>
    </xf>
    <xf numFmtId="0" fontId="17" fillId="20" borderId="12" xfId="0" applyFont="1" applyFill="1" applyBorder="1" applyAlignment="1">
      <alignment horizontal="center"/>
    </xf>
    <xf numFmtId="0" fontId="20" fillId="0" borderId="0" xfId="0" applyFont="1"/>
    <xf numFmtId="0" fontId="15" fillId="16" borderId="27" xfId="0" applyFont="1" applyFill="1" applyBorder="1" applyAlignment="1">
      <alignment horizontal="center"/>
    </xf>
    <xf numFmtId="0" fontId="15" fillId="16" borderId="38" xfId="0" applyFont="1" applyFill="1" applyBorder="1" applyAlignment="1">
      <alignment horizontal="center"/>
    </xf>
    <xf numFmtId="0" fontId="15" fillId="15" borderId="29" xfId="0" applyFont="1" applyFill="1" applyBorder="1"/>
    <xf numFmtId="0" fontId="15" fillId="15" borderId="28" xfId="0" applyFont="1" applyFill="1" applyBorder="1"/>
    <xf numFmtId="0" fontId="20" fillId="0" borderId="39" xfId="0" applyFont="1" applyBorder="1"/>
    <xf numFmtId="0" fontId="15" fillId="16" borderId="20" xfId="0" applyFont="1" applyFill="1" applyBorder="1" applyAlignment="1">
      <alignment horizontal="center"/>
    </xf>
    <xf numFmtId="0" fontId="15" fillId="16" borderId="21" xfId="0" applyFont="1" applyFill="1" applyBorder="1" applyAlignment="1">
      <alignment horizontal="center"/>
    </xf>
    <xf numFmtId="0" fontId="15" fillId="15" borderId="17" xfId="0" applyFont="1" applyFill="1" applyBorder="1" applyAlignment="1">
      <alignment horizontal="center"/>
    </xf>
    <xf numFmtId="0" fontId="15" fillId="15" borderId="29" xfId="0" applyFont="1" applyFill="1" applyBorder="1" applyAlignment="1">
      <alignment horizontal="center"/>
    </xf>
    <xf numFmtId="0" fontId="15" fillId="15" borderId="28" xfId="0" applyFont="1" applyFill="1" applyBorder="1" applyAlignment="1">
      <alignment horizontal="center"/>
    </xf>
    <xf numFmtId="0" fontId="18" fillId="21" borderId="12" xfId="0" applyFont="1" applyFill="1" applyBorder="1" applyAlignment="1">
      <alignment horizontal="center"/>
    </xf>
    <xf numFmtId="0" fontId="15" fillId="15" borderId="40" xfId="0" applyFont="1" applyFill="1" applyBorder="1" applyAlignment="1">
      <alignment horizontal="center"/>
    </xf>
    <xf numFmtId="0" fontId="15" fillId="15" borderId="23" xfId="0" applyFont="1" applyFill="1" applyBorder="1" applyAlignment="1">
      <alignment horizontal="center"/>
    </xf>
    <xf numFmtId="0" fontId="15" fillId="16" borderId="16" xfId="0" applyFont="1" applyFill="1" applyBorder="1" applyAlignment="1">
      <alignment horizontal="center"/>
    </xf>
    <xf numFmtId="0" fontId="15" fillId="16" borderId="24" xfId="0" applyFont="1" applyFill="1" applyBorder="1" applyAlignment="1">
      <alignment horizontal="center"/>
    </xf>
    <xf numFmtId="0" fontId="15" fillId="15" borderId="18" xfId="0" applyFont="1" applyFill="1" applyBorder="1" applyAlignment="1">
      <alignment horizontal="center"/>
    </xf>
    <xf numFmtId="0" fontId="20" fillId="0" borderId="33" xfId="0" applyFont="1" applyBorder="1"/>
    <xf numFmtId="0" fontId="15" fillId="16" borderId="6" xfId="0" applyFont="1" applyFill="1" applyBorder="1" applyAlignment="1">
      <alignment horizontal="center"/>
    </xf>
    <xf numFmtId="0" fontId="15" fillId="16" borderId="41" xfId="0" applyFont="1" applyFill="1" applyBorder="1" applyAlignment="1">
      <alignment horizontal="center"/>
    </xf>
    <xf numFmtId="0" fontId="15" fillId="15" borderId="9" xfId="0" applyFont="1" applyFill="1" applyBorder="1" applyAlignment="1">
      <alignment horizontal="center"/>
    </xf>
    <xf numFmtId="0" fontId="15" fillId="15" borderId="7" xfId="0" applyFont="1" applyFill="1" applyBorder="1" applyAlignment="1">
      <alignment horizontal="center"/>
    </xf>
    <xf numFmtId="0" fontId="2" fillId="22" borderId="7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2" fillId="11" borderId="10" xfId="0" applyFont="1" applyFill="1" applyBorder="1" applyAlignment="1">
      <alignment horizontal="center" vertical="center" wrapText="1"/>
    </xf>
    <xf numFmtId="0" fontId="2" fillId="11" borderId="7" xfId="0" applyFont="1" applyFill="1" applyBorder="1" applyAlignment="1">
      <alignment horizontal="center" vertical="center" wrapText="1"/>
    </xf>
    <xf numFmtId="0" fontId="2" fillId="11" borderId="7" xfId="0" applyFont="1" applyFill="1" applyBorder="1" applyAlignment="1">
      <alignment vertical="center" wrapText="1"/>
    </xf>
    <xf numFmtId="0" fontId="3" fillId="11" borderId="0" xfId="0" applyFont="1" applyFill="1" applyAlignment="1">
      <alignment horizontal="center" vertical="center" wrapText="1"/>
    </xf>
    <xf numFmtId="0" fontId="0" fillId="11" borderId="0" xfId="0" applyFill="1"/>
    <xf numFmtId="0" fontId="0" fillId="11" borderId="13" xfId="0" applyFill="1" applyBorder="1"/>
    <xf numFmtId="0" fontId="0" fillId="11" borderId="14" xfId="0" applyFill="1" applyBorder="1"/>
    <xf numFmtId="0" fontId="0" fillId="11" borderId="15" xfId="0" applyFill="1" applyBorder="1"/>
    <xf numFmtId="0" fontId="6" fillId="11" borderId="10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7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3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1" borderId="18" xfId="0" applyFont="1" applyFill="1" applyBorder="1" applyAlignment="1">
      <alignment horizontal="center" vertical="center" wrapText="1"/>
    </xf>
    <xf numFmtId="0" fontId="8" fillId="11" borderId="10" xfId="0" applyFont="1" applyFill="1" applyBorder="1" applyAlignment="1">
      <alignment horizontal="center" vertical="center" wrapText="1"/>
    </xf>
    <xf numFmtId="0" fontId="12" fillId="11" borderId="7" xfId="0" applyFont="1" applyFill="1" applyBorder="1" applyAlignment="1">
      <alignment horizontal="center" vertical="center" wrapText="1"/>
    </xf>
    <xf numFmtId="0" fontId="2" fillId="23" borderId="7" xfId="0" applyFont="1" applyFill="1" applyBorder="1" applyAlignment="1">
      <alignment horizontal="center" vertical="center" wrapText="1"/>
    </xf>
    <xf numFmtId="0" fontId="3" fillId="23" borderId="7" xfId="0" applyFont="1" applyFill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 vertical="center" wrapText="1"/>
    </xf>
    <xf numFmtId="0" fontId="10" fillId="11" borderId="7" xfId="0" applyFont="1" applyFill="1" applyBorder="1" applyAlignment="1">
      <alignment horizontal="center" vertical="center" wrapText="1"/>
    </xf>
    <xf numFmtId="0" fontId="9" fillId="11" borderId="7" xfId="0" applyFont="1" applyFill="1" applyBorder="1" applyAlignment="1">
      <alignment horizontal="center" vertical="center" wrapText="1"/>
    </xf>
    <xf numFmtId="0" fontId="10" fillId="11" borderId="10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11" borderId="18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 wrapText="1"/>
    </xf>
    <xf numFmtId="49" fontId="7" fillId="5" borderId="8" xfId="0" applyNumberFormat="1" applyFont="1" applyFill="1" applyBorder="1" applyAlignment="1">
      <alignment horizontal="center" vertical="center" wrapText="1"/>
    </xf>
    <xf numFmtId="49" fontId="7" fillId="5" borderId="3" xfId="0" applyNumberFormat="1" applyFont="1" applyFill="1" applyBorder="1" applyAlignment="1">
      <alignment horizontal="center" vertical="center" wrapText="1"/>
    </xf>
    <xf numFmtId="49" fontId="7" fillId="5" borderId="6" xfId="0" applyNumberFormat="1" applyFont="1" applyFill="1" applyBorder="1" applyAlignment="1">
      <alignment horizontal="center" vertical="center" wrapText="1"/>
    </xf>
    <xf numFmtId="49" fontId="7" fillId="5" borderId="9" xfId="0" applyNumberFormat="1" applyFont="1" applyFill="1" applyBorder="1" applyAlignment="1">
      <alignment horizontal="center" vertical="center" wrapText="1"/>
    </xf>
    <xf numFmtId="49" fontId="7" fillId="5" borderId="7" xfId="0" applyNumberFormat="1" applyFont="1" applyFill="1" applyBorder="1" applyAlignment="1">
      <alignment horizontal="center" vertical="center" wrapText="1"/>
    </xf>
    <xf numFmtId="49" fontId="7" fillId="6" borderId="2" xfId="0" applyNumberFormat="1" applyFont="1" applyFill="1" applyBorder="1" applyAlignment="1">
      <alignment horizontal="center" vertical="center" wrapText="1"/>
    </xf>
    <xf numFmtId="49" fontId="7" fillId="6" borderId="8" xfId="0" applyNumberFormat="1" applyFont="1" applyFill="1" applyBorder="1" applyAlignment="1">
      <alignment horizontal="center" vertical="center" wrapText="1"/>
    </xf>
    <xf numFmtId="49" fontId="7" fillId="6" borderId="3" xfId="0" applyNumberFormat="1" applyFont="1" applyFill="1" applyBorder="1" applyAlignment="1">
      <alignment horizontal="center" vertical="center" wrapText="1"/>
    </xf>
    <xf numFmtId="49" fontId="7" fillId="6" borderId="6" xfId="0" applyNumberFormat="1" applyFont="1" applyFill="1" applyBorder="1" applyAlignment="1">
      <alignment horizontal="center" vertical="center" wrapText="1"/>
    </xf>
    <xf numFmtId="49" fontId="7" fillId="6" borderId="9" xfId="0" applyNumberFormat="1" applyFont="1" applyFill="1" applyBorder="1" applyAlignment="1">
      <alignment horizontal="center" vertical="center" wrapText="1"/>
    </xf>
    <xf numFmtId="49" fontId="7" fillId="6" borderId="7" xfId="0" applyNumberFormat="1" applyFont="1" applyFill="1" applyBorder="1" applyAlignment="1">
      <alignment horizontal="center" vertical="center" wrapText="1"/>
    </xf>
    <xf numFmtId="0" fontId="0" fillId="12" borderId="16" xfId="0" applyFill="1" applyBorder="1" applyAlignment="1">
      <alignment horizontal="center" vertical="center"/>
    </xf>
    <xf numFmtId="0" fontId="0" fillId="12" borderId="17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49" fontId="2" fillId="4" borderId="2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center" vertical="center" wrapText="1"/>
    </xf>
    <xf numFmtId="49" fontId="2" fillId="5" borderId="3" xfId="0" applyNumberFormat="1" applyFont="1" applyFill="1" applyBorder="1" applyAlignment="1">
      <alignment horizontal="center" vertical="center" wrapText="1"/>
    </xf>
    <xf numFmtId="49" fontId="2" fillId="5" borderId="6" xfId="0" applyNumberFormat="1" applyFont="1" applyFill="1" applyBorder="1" applyAlignment="1">
      <alignment horizontal="center" vertical="center" wrapText="1"/>
    </xf>
    <xf numFmtId="49" fontId="2" fillId="5" borderId="7" xfId="0" applyNumberFormat="1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49" fontId="2" fillId="4" borderId="11" xfId="0" applyNumberFormat="1" applyFont="1" applyFill="1" applyBorder="1" applyAlignment="1">
      <alignment horizontal="center" vertical="center" wrapText="1"/>
    </xf>
    <xf numFmtId="49" fontId="2" fillId="4" borderId="10" xfId="0" applyNumberFormat="1" applyFont="1" applyFill="1" applyBorder="1" applyAlignment="1">
      <alignment horizontal="center" vertical="center" wrapText="1"/>
    </xf>
    <xf numFmtId="49" fontId="2" fillId="5" borderId="8" xfId="0" applyNumberFormat="1" applyFont="1" applyFill="1" applyBorder="1" applyAlignment="1">
      <alignment horizontal="center" vertical="center" wrapText="1"/>
    </xf>
    <xf numFmtId="49" fontId="2" fillId="5" borderId="9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49" fontId="3" fillId="7" borderId="11" xfId="0" applyNumberFormat="1" applyFont="1" applyFill="1" applyBorder="1" applyAlignment="1">
      <alignment horizontal="center" vertical="center" wrapText="1"/>
    </xf>
    <xf numFmtId="49" fontId="3" fillId="7" borderId="10" xfId="0" applyNumberFormat="1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49" fontId="2" fillId="4" borderId="4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Alignment="1">
      <alignment horizontal="center" vertical="center" wrapText="1"/>
    </xf>
    <xf numFmtId="49" fontId="2" fillId="4" borderId="5" xfId="0" applyNumberFormat="1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5" fillId="9" borderId="4" xfId="0" applyFont="1" applyFill="1" applyBorder="1" applyAlignment="1">
      <alignment horizontal="center" vertical="center" wrapText="1"/>
    </xf>
    <xf numFmtId="0" fontId="5" fillId="9" borderId="0" xfId="0" applyFont="1" applyFill="1" applyAlignment="1">
      <alignment horizontal="center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5" fillId="9" borderId="9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16" fillId="19" borderId="30" xfId="0" applyFont="1" applyFill="1" applyBorder="1" applyAlignment="1">
      <alignment horizontal="center"/>
    </xf>
    <xf numFmtId="0" fontId="16" fillId="19" borderId="31" xfId="0" applyFont="1" applyFill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5" fillId="0" borderId="37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5" fillId="0" borderId="44" xfId="0" applyFont="1" applyBorder="1" applyAlignment="1">
      <alignment horizontal="center"/>
    </xf>
    <xf numFmtId="0" fontId="17" fillId="20" borderId="30" xfId="0" applyFont="1" applyFill="1" applyBorder="1" applyAlignment="1">
      <alignment horizontal="center"/>
    </xf>
    <xf numFmtId="0" fontId="17" fillId="20" borderId="31" xfId="0" applyFont="1" applyFill="1" applyBorder="1" applyAlignment="1">
      <alignment horizontal="center"/>
    </xf>
    <xf numFmtId="0" fontId="17" fillId="20" borderId="32" xfId="0" applyFont="1" applyFill="1" applyBorder="1" applyAlignment="1">
      <alignment horizontal="center"/>
    </xf>
    <xf numFmtId="0" fontId="15" fillId="15" borderId="25" xfId="0" applyFont="1" applyFill="1" applyBorder="1" applyAlignment="1">
      <alignment horizontal="center"/>
    </xf>
    <xf numFmtId="0" fontId="15" fillId="15" borderId="36" xfId="0" applyFont="1" applyFill="1" applyBorder="1" applyAlignment="1">
      <alignment horizontal="center"/>
    </xf>
    <xf numFmtId="49" fontId="19" fillId="14" borderId="0" xfId="0" applyNumberFormat="1" applyFont="1" applyFill="1" applyAlignment="1">
      <alignment horizontal="center" vertical="center"/>
    </xf>
    <xf numFmtId="49" fontId="2" fillId="15" borderId="2" xfId="0" applyNumberFormat="1" applyFont="1" applyFill="1" applyBorder="1" applyAlignment="1">
      <alignment horizontal="center" vertical="center" wrapText="1"/>
    </xf>
    <xf numFmtId="49" fontId="2" fillId="15" borderId="3" xfId="0" applyNumberFormat="1" applyFont="1" applyFill="1" applyBorder="1" applyAlignment="1">
      <alignment horizontal="center" vertical="center" wrapText="1"/>
    </xf>
    <xf numFmtId="49" fontId="2" fillId="15" borderId="27" xfId="0" applyNumberFormat="1" applyFont="1" applyFill="1" applyBorder="1" applyAlignment="1">
      <alignment horizontal="center" vertical="center" wrapText="1"/>
    </xf>
    <xf numFmtId="49" fontId="2" fillId="15" borderId="28" xfId="0" applyNumberFormat="1" applyFont="1" applyFill="1" applyBorder="1" applyAlignment="1">
      <alignment horizontal="center" vertical="center" wrapText="1"/>
    </xf>
    <xf numFmtId="0" fontId="2" fillId="15" borderId="11" xfId="0" applyFont="1" applyFill="1" applyBorder="1" applyAlignment="1">
      <alignment horizontal="center" vertical="center" wrapText="1"/>
    </xf>
    <xf numFmtId="0" fontId="2" fillId="15" borderId="35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" fillId="15" borderId="3" xfId="0" applyFont="1" applyFill="1" applyBorder="1" applyAlignment="1">
      <alignment horizontal="center" vertical="center" wrapText="1"/>
    </xf>
    <xf numFmtId="0" fontId="2" fillId="15" borderId="27" xfId="0" applyFont="1" applyFill="1" applyBorder="1" applyAlignment="1">
      <alignment horizontal="center" vertical="center" wrapText="1"/>
    </xf>
    <xf numFmtId="0" fontId="2" fillId="15" borderId="28" xfId="0" applyFont="1" applyFill="1" applyBorder="1" applyAlignment="1">
      <alignment horizontal="center" vertical="center" wrapText="1"/>
    </xf>
    <xf numFmtId="49" fontId="2" fillId="15" borderId="8" xfId="0" applyNumberFormat="1" applyFont="1" applyFill="1" applyBorder="1" applyAlignment="1">
      <alignment horizontal="center" vertical="center" wrapText="1"/>
    </xf>
    <xf numFmtId="49" fontId="2" fillId="15" borderId="29" xfId="0" applyNumberFormat="1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2" fillId="16" borderId="34" xfId="0" applyFont="1" applyFill="1" applyBorder="1" applyAlignment="1">
      <alignment horizontal="center" vertical="center" wrapText="1"/>
    </xf>
    <xf numFmtId="0" fontId="2" fillId="16" borderId="27" xfId="0" applyFont="1" applyFill="1" applyBorder="1" applyAlignment="1">
      <alignment horizontal="center" vertical="center" wrapText="1"/>
    </xf>
    <xf numFmtId="0" fontId="2" fillId="16" borderId="42" xfId="0" applyFont="1" applyFill="1" applyBorder="1" applyAlignment="1">
      <alignment horizontal="center" vertical="center" wrapText="1"/>
    </xf>
    <xf numFmtId="0" fontId="15" fillId="17" borderId="16" xfId="0" applyFont="1" applyFill="1" applyBorder="1" applyAlignment="1">
      <alignment horizontal="center" vertical="center"/>
    </xf>
    <xf numFmtId="0" fontId="15" fillId="17" borderId="17" xfId="0" applyFont="1" applyFill="1" applyBorder="1" applyAlignment="1">
      <alignment horizontal="center" vertical="center"/>
    </xf>
    <xf numFmtId="0" fontId="15" fillId="17" borderId="36" xfId="0" applyFont="1" applyFill="1" applyBorder="1" applyAlignment="1">
      <alignment horizontal="center" vertical="center"/>
    </xf>
    <xf numFmtId="0" fontId="15" fillId="18" borderId="16" xfId="0" applyFont="1" applyFill="1" applyBorder="1" applyAlignment="1">
      <alignment horizontal="center" vertical="center"/>
    </xf>
    <xf numFmtId="0" fontId="15" fillId="18" borderId="36" xfId="0" applyFont="1" applyFill="1" applyBorder="1" applyAlignment="1">
      <alignment horizontal="center" vertical="center"/>
    </xf>
    <xf numFmtId="0" fontId="15" fillId="15" borderId="43" xfId="0" applyFont="1" applyFill="1" applyBorder="1" applyAlignment="1">
      <alignment horizontal="center" vertical="center"/>
    </xf>
    <xf numFmtId="0" fontId="15" fillId="15" borderId="36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49" fontId="11" fillId="13" borderId="0" xfId="0" applyNumberFormat="1" applyFont="1" applyFill="1" applyAlignment="1">
      <alignment horizontal="center" vertical="center"/>
    </xf>
    <xf numFmtId="49" fontId="2" fillId="4" borderId="27" xfId="0" applyNumberFormat="1" applyFont="1" applyFill="1" applyBorder="1" applyAlignment="1">
      <alignment horizontal="center" vertical="center" wrapText="1"/>
    </xf>
    <xf numFmtId="49" fontId="2" fillId="4" borderId="28" xfId="0" applyNumberFormat="1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49" fontId="2" fillId="4" borderId="29" xfId="0" applyNumberFormat="1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0" fillId="8" borderId="16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24" xfId="0" applyFill="1" applyBorder="1" applyAlignment="1">
      <alignment horizontal="center"/>
    </xf>
  </cellXfs>
  <cellStyles count="1">
    <cellStyle name="Normale" xfId="0" builtinId="0"/>
  </cellStyles>
  <dxfs count="9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E2F2"/>
      <color rgb="FFE7795B"/>
      <color rgb="FFEA9E9E"/>
      <color rgb="FFDB100B"/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88900</xdr:colOff>
          <xdr:row>2</xdr:row>
          <xdr:rowOff>63500</xdr:rowOff>
        </xdr:from>
        <xdr:to>
          <xdr:col>46</xdr:col>
          <xdr:colOff>1003300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6800" rIns="90000" bIns="4680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VISUALIZZA DUPLICATI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38100</xdr:colOff>
          <xdr:row>2</xdr:row>
          <xdr:rowOff>0</xdr:rowOff>
        </xdr:from>
        <xdr:to>
          <xdr:col>87</xdr:col>
          <xdr:colOff>571500</xdr:colOff>
          <xdr:row>3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AGGIORNA STUDI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GIORNA AMBU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88900</xdr:colOff>
          <xdr:row>5</xdr:row>
          <xdr:rowOff>38100</xdr:rowOff>
        </xdr:from>
        <xdr:to>
          <xdr:col>46</xdr:col>
          <xdr:colOff>1257300</xdr:colOff>
          <xdr:row>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Duplicati nei turni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50800</xdr:colOff>
          <xdr:row>7</xdr:row>
          <xdr:rowOff>114300</xdr:rowOff>
        </xdr:from>
        <xdr:to>
          <xdr:col>46</xdr:col>
          <xdr:colOff>1257300</xdr:colOff>
          <xdr:row>9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Pulisci griglia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75B6-FAE3-49EA-9BD3-A91670D8394F}">
  <sheetPr codeName="Sheet1">
    <tabColor rgb="FF92D050"/>
    <pageSetUpPr fitToPage="1"/>
  </sheetPr>
  <dimension ref="A1:CV74"/>
  <sheetViews>
    <sheetView topLeftCell="A10" zoomScale="118" zoomScaleNormal="100" workbookViewId="0">
      <pane xSplit="1" topLeftCell="B1" activePane="topRight" state="frozen"/>
      <selection activeCell="A25" sqref="A25"/>
      <selection pane="topRight" activeCell="Y35" sqref="Y35"/>
    </sheetView>
  </sheetViews>
  <sheetFormatPr baseColWidth="10" defaultColWidth="8.83203125" defaultRowHeight="15" x14ac:dyDescent="0.2"/>
  <cols>
    <col min="1" max="1" width="6.33203125" customWidth="1"/>
    <col min="2" max="2" width="5.6640625" customWidth="1"/>
    <col min="3" max="31" width="4.6640625" customWidth="1"/>
    <col min="32" max="32" width="4.1640625" customWidth="1"/>
    <col min="33" max="33" width="4.33203125" customWidth="1"/>
    <col min="34" max="34" width="5.6640625" customWidth="1"/>
    <col min="35" max="41" width="4.33203125" customWidth="1"/>
    <col min="42" max="46" width="4.33203125" hidden="1" customWidth="1"/>
    <col min="47" max="47" width="18" customWidth="1"/>
    <col min="48" max="48" width="4.1640625" customWidth="1"/>
    <col min="49" max="50" width="4" customWidth="1"/>
    <col min="51" max="51" width="3.6640625" customWidth="1"/>
    <col min="52" max="52" width="4.33203125" customWidth="1"/>
    <col min="53" max="53" width="4.6640625" customWidth="1"/>
    <col min="54" max="54" width="4.33203125" hidden="1" customWidth="1"/>
    <col min="55" max="55" width="4.6640625" customWidth="1"/>
    <col min="56" max="56" width="4.33203125" customWidth="1"/>
    <col min="57" max="57" width="3.83203125" customWidth="1"/>
    <col min="58" max="58" width="4.33203125" customWidth="1"/>
    <col min="59" max="60" width="3.6640625" customWidth="1"/>
    <col min="61" max="62" width="3.1640625" customWidth="1"/>
    <col min="63" max="65" width="3.6640625" customWidth="1"/>
    <col min="66" max="70" width="3.6640625" hidden="1" customWidth="1"/>
    <col min="71" max="75" width="0" hidden="1" customWidth="1"/>
  </cols>
  <sheetData>
    <row r="1" spans="1:100" ht="14.25" customHeight="1" x14ac:dyDescent="0.2">
      <c r="A1" s="106" t="s">
        <v>0</v>
      </c>
      <c r="B1" s="107"/>
      <c r="C1" s="142" t="s">
        <v>1</v>
      </c>
      <c r="D1" s="143"/>
      <c r="E1" s="142" t="s">
        <v>2</v>
      </c>
      <c r="F1" s="143"/>
      <c r="G1" s="142" t="s">
        <v>3</v>
      </c>
      <c r="H1" s="143"/>
      <c r="I1" s="142" t="s">
        <v>4</v>
      </c>
      <c r="J1" s="143"/>
      <c r="K1" s="150" t="s">
        <v>5</v>
      </c>
      <c r="L1" s="150" t="s">
        <v>6</v>
      </c>
      <c r="M1" s="158" t="s">
        <v>7</v>
      </c>
      <c r="N1" s="159"/>
      <c r="O1" s="150" t="s">
        <v>8</v>
      </c>
      <c r="P1" s="150" t="s">
        <v>9</v>
      </c>
      <c r="Q1" s="142" t="s">
        <v>10</v>
      </c>
      <c r="R1" s="156"/>
      <c r="S1" s="156"/>
      <c r="T1" s="156"/>
      <c r="U1" s="143"/>
      <c r="V1" s="146" t="s">
        <v>11</v>
      </c>
      <c r="W1" s="154"/>
      <c r="X1" s="154"/>
      <c r="Y1" s="154"/>
      <c r="Z1" s="147"/>
      <c r="AA1" s="146" t="s">
        <v>12</v>
      </c>
      <c r="AB1" s="154"/>
      <c r="AC1" s="138" t="s">
        <v>13</v>
      </c>
      <c r="AD1" s="139"/>
      <c r="AE1" s="15" t="s">
        <v>14</v>
      </c>
      <c r="AF1" s="167" t="s">
        <v>15</v>
      </c>
      <c r="AG1" s="168"/>
      <c r="AH1" s="168"/>
      <c r="AI1" s="168"/>
      <c r="AJ1" s="168"/>
      <c r="AK1" s="168"/>
      <c r="AL1" s="168"/>
      <c r="AM1" s="168"/>
      <c r="AN1" s="168"/>
      <c r="AO1" s="169"/>
      <c r="AP1" s="21"/>
      <c r="AQ1" s="21"/>
      <c r="AR1" s="21"/>
      <c r="AS1" s="21"/>
      <c r="AT1" s="21"/>
      <c r="AU1" s="1" t="s">
        <v>16</v>
      </c>
      <c r="BL1" s="106" t="s">
        <v>0</v>
      </c>
      <c r="BM1" s="107"/>
      <c r="BN1" s="112" t="s">
        <v>54</v>
      </c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4"/>
      <c r="CK1" s="106" t="s">
        <v>0</v>
      </c>
      <c r="CL1" s="107"/>
      <c r="CM1" s="113"/>
      <c r="CN1" s="113"/>
      <c r="CO1" s="113"/>
      <c r="CP1" s="113"/>
      <c r="CQ1" s="113"/>
      <c r="CR1" s="113"/>
      <c r="CS1" s="113"/>
      <c r="CT1" s="113"/>
      <c r="CU1" s="113"/>
      <c r="CV1" s="114"/>
    </row>
    <row r="2" spans="1:100" ht="14.75" customHeight="1" thickBot="1" x14ac:dyDescent="0.25">
      <c r="A2" s="108"/>
      <c r="B2" s="109"/>
      <c r="C2" s="144"/>
      <c r="D2" s="145"/>
      <c r="E2" s="144"/>
      <c r="F2" s="145"/>
      <c r="G2" s="144"/>
      <c r="H2" s="145"/>
      <c r="I2" s="144"/>
      <c r="J2" s="145"/>
      <c r="K2" s="151"/>
      <c r="L2" s="151"/>
      <c r="M2" s="160"/>
      <c r="N2" s="161"/>
      <c r="O2" s="151"/>
      <c r="P2" s="151"/>
      <c r="Q2" s="144"/>
      <c r="R2" s="157"/>
      <c r="S2" s="157"/>
      <c r="T2" s="157"/>
      <c r="U2" s="145"/>
      <c r="V2" s="148"/>
      <c r="W2" s="155"/>
      <c r="X2" s="155"/>
      <c r="Y2" s="155"/>
      <c r="Z2" s="149"/>
      <c r="AA2" s="148"/>
      <c r="AB2" s="155"/>
      <c r="AC2" s="140"/>
      <c r="AD2" s="141"/>
      <c r="AE2" s="16" t="s">
        <v>17</v>
      </c>
      <c r="AF2" s="170"/>
      <c r="AG2" s="171"/>
      <c r="AH2" s="171"/>
      <c r="AI2" s="171"/>
      <c r="AJ2" s="171"/>
      <c r="AK2" s="171"/>
      <c r="AL2" s="171"/>
      <c r="AM2" s="171"/>
      <c r="AN2" s="171"/>
      <c r="AO2" s="172"/>
      <c r="AP2" s="21"/>
      <c r="AQ2" s="21"/>
      <c r="AR2" s="21"/>
      <c r="AS2" s="21"/>
      <c r="AT2" s="21"/>
      <c r="AU2" s="3" t="s">
        <v>18</v>
      </c>
      <c r="BL2" s="108"/>
      <c r="BM2" s="109"/>
      <c r="BN2" s="115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7"/>
      <c r="CK2" s="108"/>
      <c r="CL2" s="109"/>
      <c r="CM2" s="116"/>
      <c r="CN2" s="116"/>
      <c r="CO2" s="116"/>
      <c r="CP2" s="116"/>
      <c r="CQ2" s="116"/>
      <c r="CR2" s="116"/>
      <c r="CS2" s="116"/>
      <c r="CT2" s="116"/>
      <c r="CU2" s="116"/>
      <c r="CV2" s="117"/>
    </row>
    <row r="3" spans="1:100" ht="17" customHeight="1" thickBot="1" x14ac:dyDescent="0.25">
      <c r="A3" s="108"/>
      <c r="B3" s="109"/>
      <c r="C3" s="142" t="s">
        <v>19</v>
      </c>
      <c r="D3" s="143"/>
      <c r="E3" s="142" t="s">
        <v>19</v>
      </c>
      <c r="F3" s="143"/>
      <c r="G3" s="142" t="s">
        <v>19</v>
      </c>
      <c r="H3" s="143"/>
      <c r="I3" s="142" t="s">
        <v>19</v>
      </c>
      <c r="J3" s="143"/>
      <c r="K3" s="152" t="s">
        <v>19</v>
      </c>
      <c r="L3" s="152" t="s">
        <v>19</v>
      </c>
      <c r="M3" s="142" t="s">
        <v>19</v>
      </c>
      <c r="N3" s="143"/>
      <c r="O3" s="152" t="s">
        <v>19</v>
      </c>
      <c r="P3" s="152" t="s">
        <v>19</v>
      </c>
      <c r="Q3" s="142" t="s">
        <v>19</v>
      </c>
      <c r="R3" s="156"/>
      <c r="S3" s="156"/>
      <c r="T3" s="156"/>
      <c r="U3" s="143"/>
      <c r="V3" s="146" t="s">
        <v>20</v>
      </c>
      <c r="W3" s="154"/>
      <c r="X3" s="154"/>
      <c r="Y3" s="154"/>
      <c r="Z3" s="147"/>
      <c r="AA3" s="146" t="s">
        <v>20</v>
      </c>
      <c r="AB3" s="147"/>
      <c r="AC3" s="146" t="s">
        <v>21</v>
      </c>
      <c r="AD3" s="147"/>
      <c r="AE3" s="4" t="s">
        <v>22</v>
      </c>
      <c r="AF3" s="165"/>
      <c r="AG3" s="165"/>
      <c r="AH3" s="165"/>
      <c r="AI3" s="165"/>
      <c r="AJ3" s="165"/>
      <c r="AK3" s="165"/>
      <c r="AL3" s="165"/>
      <c r="AM3" s="165"/>
      <c r="AN3" s="165"/>
      <c r="AO3" s="165"/>
      <c r="AP3" s="22"/>
      <c r="AQ3" s="22"/>
      <c r="AR3" s="22"/>
      <c r="AS3" s="22"/>
      <c r="AT3" s="22"/>
      <c r="BL3" s="108"/>
      <c r="BM3" s="109"/>
      <c r="BN3" s="118" t="s">
        <v>56</v>
      </c>
      <c r="BO3" s="119"/>
      <c r="BP3" s="119"/>
      <c r="BQ3" s="119"/>
      <c r="BR3" s="119"/>
      <c r="BS3" s="119"/>
      <c r="BT3" s="119"/>
      <c r="BU3" s="119"/>
      <c r="BV3" s="119"/>
      <c r="BW3" s="120"/>
      <c r="BX3" s="124" t="s">
        <v>72</v>
      </c>
      <c r="BY3" s="125"/>
      <c r="BZ3" s="125"/>
      <c r="CA3" s="125"/>
      <c r="CB3" s="125"/>
      <c r="CC3" s="125"/>
      <c r="CD3" s="125"/>
      <c r="CE3" s="125"/>
      <c r="CF3" s="125"/>
      <c r="CG3" s="126"/>
      <c r="CK3" s="108"/>
      <c r="CL3" s="109"/>
      <c r="CM3" s="124" t="s">
        <v>73</v>
      </c>
      <c r="CN3" s="125"/>
      <c r="CO3" s="125"/>
      <c r="CP3" s="125"/>
      <c r="CQ3" s="125"/>
      <c r="CR3" s="125"/>
      <c r="CS3" s="125"/>
      <c r="CT3" s="125"/>
      <c r="CU3" s="125"/>
      <c r="CV3" s="126"/>
    </row>
    <row r="4" spans="1:100" ht="79" customHeight="1" thickBot="1" x14ac:dyDescent="0.25">
      <c r="A4" s="110"/>
      <c r="B4" s="111"/>
      <c r="C4" s="144"/>
      <c r="D4" s="145"/>
      <c r="E4" s="144"/>
      <c r="F4" s="145"/>
      <c r="G4" s="144"/>
      <c r="H4" s="145"/>
      <c r="I4" s="144"/>
      <c r="J4" s="145"/>
      <c r="K4" s="153"/>
      <c r="L4" s="153"/>
      <c r="M4" s="144"/>
      <c r="N4" s="145"/>
      <c r="O4" s="153"/>
      <c r="P4" s="153"/>
      <c r="Q4" s="144"/>
      <c r="R4" s="157"/>
      <c r="S4" s="157"/>
      <c r="T4" s="157"/>
      <c r="U4" s="145"/>
      <c r="V4" s="148"/>
      <c r="W4" s="155"/>
      <c r="X4" s="155"/>
      <c r="Y4" s="155"/>
      <c r="Z4" s="149"/>
      <c r="AA4" s="148"/>
      <c r="AB4" s="149"/>
      <c r="AC4" s="148"/>
      <c r="AD4" s="149"/>
      <c r="AE4" s="17" t="s">
        <v>23</v>
      </c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22"/>
      <c r="AQ4" s="22"/>
      <c r="AR4" s="22"/>
      <c r="AS4" s="22"/>
      <c r="AT4" s="22"/>
      <c r="AV4" s="162" t="s">
        <v>24</v>
      </c>
      <c r="AW4" s="163"/>
      <c r="AX4" s="163"/>
      <c r="AY4" s="163"/>
      <c r="AZ4" s="163"/>
      <c r="BA4" s="163"/>
      <c r="BB4" s="163"/>
      <c r="BC4" s="163"/>
      <c r="BD4" s="163"/>
      <c r="BE4" s="163"/>
      <c r="BF4" s="163"/>
      <c r="BG4" s="163"/>
      <c r="BH4" s="163"/>
      <c r="BI4" s="164"/>
      <c r="BJ4" s="36"/>
      <c r="BL4" s="110"/>
      <c r="BM4" s="111"/>
      <c r="BN4" s="121"/>
      <c r="BO4" s="122"/>
      <c r="BP4" s="122"/>
      <c r="BQ4" s="122"/>
      <c r="BR4" s="122"/>
      <c r="BS4" s="122"/>
      <c r="BT4" s="122"/>
      <c r="BU4" s="122"/>
      <c r="BV4" s="122"/>
      <c r="BW4" s="123"/>
      <c r="BX4" s="127"/>
      <c r="BY4" s="128"/>
      <c r="BZ4" s="128"/>
      <c r="CA4" s="128"/>
      <c r="CB4" s="128"/>
      <c r="CC4" s="128"/>
      <c r="CD4" s="128"/>
      <c r="CE4" s="128"/>
      <c r="CF4" s="128"/>
      <c r="CG4" s="129"/>
      <c r="CK4" s="110"/>
      <c r="CL4" s="111"/>
      <c r="CM4" s="127"/>
      <c r="CN4" s="128"/>
      <c r="CO4" s="128"/>
      <c r="CP4" s="128"/>
      <c r="CQ4" s="128"/>
      <c r="CR4" s="128"/>
      <c r="CS4" s="128"/>
      <c r="CT4" s="128"/>
      <c r="CU4" s="128"/>
      <c r="CV4" s="129"/>
    </row>
    <row r="5" spans="1:100" s="75" customFormat="1" ht="16" thickBot="1" x14ac:dyDescent="0.25">
      <c r="A5" s="90">
        <v>1</v>
      </c>
      <c r="B5" s="91" t="s">
        <v>76</v>
      </c>
      <c r="C5" s="72"/>
      <c r="D5" s="19"/>
      <c r="E5" s="65"/>
      <c r="F5" s="19"/>
      <c r="G5" s="65" t="s">
        <v>88</v>
      </c>
      <c r="H5" s="19"/>
      <c r="I5" s="65"/>
      <c r="J5" s="19"/>
      <c r="K5" s="65"/>
      <c r="L5" s="65"/>
      <c r="M5" s="65"/>
      <c r="N5" s="19"/>
      <c r="O5" s="65"/>
      <c r="P5" s="65"/>
      <c r="Q5" s="19"/>
      <c r="R5" s="19"/>
      <c r="S5" s="19"/>
      <c r="T5" s="19"/>
      <c r="U5" s="19"/>
      <c r="V5" s="19"/>
      <c r="W5" s="19"/>
      <c r="X5" s="19"/>
      <c r="Y5" s="19"/>
      <c r="Z5" s="19"/>
      <c r="AA5" s="65"/>
      <c r="AB5" s="19"/>
      <c r="AC5" s="65" t="s">
        <v>37</v>
      </c>
      <c r="AD5" s="19"/>
      <c r="AE5" s="65" t="s">
        <v>28</v>
      </c>
      <c r="AF5" s="73" t="s">
        <v>30</v>
      </c>
      <c r="AG5" s="19" t="s">
        <v>36</v>
      </c>
      <c r="AH5" s="19" t="s">
        <v>40</v>
      </c>
      <c r="AI5" s="19" t="s">
        <v>33</v>
      </c>
      <c r="AJ5" s="19"/>
      <c r="AK5" s="19"/>
      <c r="AL5" s="19"/>
      <c r="AM5" s="19"/>
      <c r="AN5" s="19"/>
      <c r="AO5" s="19"/>
      <c r="AP5" s="74"/>
      <c r="AQ5" s="74"/>
      <c r="AR5" s="74"/>
      <c r="AS5" s="74"/>
      <c r="AT5" s="74"/>
      <c r="AV5" s="76" t="str">
        <f>IF(COUNTIF(C5:AO5,"BUR")=0,"BUR","")</f>
        <v>BUR</v>
      </c>
      <c r="AW5" s="77" t="str">
        <f>IF(COUNTIF(C5:AO5,"CUR")=0,"CUR","")</f>
        <v/>
      </c>
      <c r="AX5" s="77" t="str">
        <f>IF(COUNTIF(C5:AO5,"BON")=0,"BON","")</f>
        <v>BON</v>
      </c>
      <c r="AY5" s="77" t="str">
        <f>IF(COUNTIF(C5:AO5,"DES")=0,"DES","")</f>
        <v>DES</v>
      </c>
      <c r="AZ5" s="77" t="str">
        <f>IF(COUNTIF(C5:AO5,"DON")=0,"DON","")</f>
        <v>DON</v>
      </c>
      <c r="BA5" s="77" t="str">
        <f>IF(COUNTIF(C5:AO5,"FUM")=0,"FUM","")</f>
        <v>FUM</v>
      </c>
      <c r="BB5" s="77" t="str">
        <f>IF(COUNTIF(C5:AO5,"LAM")=0,"LAM","")</f>
        <v>LAM</v>
      </c>
      <c r="BC5" s="77" t="str">
        <f>IF(COUNTIF(C5:AO5,"MAG")=0,"MAG","")</f>
        <v/>
      </c>
      <c r="BD5" s="77" t="str">
        <f>IF(COUNTIF(C5:AO5,"MAS")=0,"MAS","")</f>
        <v/>
      </c>
      <c r="BE5" s="77" t="str">
        <f>IF(COUNTIF(C5:AO5,"SAL")=0,"SAL","")</f>
        <v>SAL</v>
      </c>
      <c r="BF5" s="77" t="str">
        <f>IF(COUNTIF(C5:AO5,"OGG")=0,"OGG","")</f>
        <v/>
      </c>
      <c r="BG5" s="77" t="str">
        <f>IF(COUNTIF(C5:AO5,"PAS")=0,"PAS","")</f>
        <v>PAS</v>
      </c>
      <c r="BH5" s="77" t="str">
        <f>IF(COUNTIF(C5:AO5,"RUZ")=0,"RUZ","")</f>
        <v>RUZ</v>
      </c>
      <c r="BI5" s="78" t="str">
        <f>IF(COUNTIF(C5:AO5,"SES")=0,"SES","")</f>
        <v/>
      </c>
      <c r="BJ5" s="78" t="str">
        <f>IF(COUNTIF(C5:AO5,"LAM")=0,"LAM","")</f>
        <v>LAM</v>
      </c>
      <c r="BL5" s="79">
        <v>1</v>
      </c>
      <c r="BM5" s="19" t="str">
        <f>B5</f>
        <v>G</v>
      </c>
      <c r="BN5" s="20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K5" s="79">
        <v>1</v>
      </c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</row>
    <row r="6" spans="1:100" ht="16" thickBot="1" x14ac:dyDescent="0.25">
      <c r="A6" s="89">
        <v>2</v>
      </c>
      <c r="B6" s="35" t="s">
        <v>77</v>
      </c>
      <c r="C6" s="35" t="s">
        <v>28</v>
      </c>
      <c r="D6" s="5" t="s">
        <v>32</v>
      </c>
      <c r="E6" s="35" t="s">
        <v>37</v>
      </c>
      <c r="F6" s="5"/>
      <c r="G6" s="35" t="s">
        <v>27</v>
      </c>
      <c r="H6" s="5"/>
      <c r="I6" s="35"/>
      <c r="J6" s="5"/>
      <c r="K6" s="94" t="s">
        <v>26</v>
      </c>
      <c r="L6" s="94" t="s">
        <v>26</v>
      </c>
      <c r="M6" s="35"/>
      <c r="N6" s="5"/>
      <c r="O6" s="35"/>
      <c r="P6" s="35"/>
      <c r="Q6" s="5" t="s">
        <v>84</v>
      </c>
      <c r="R6" s="5"/>
      <c r="S6" s="5"/>
      <c r="T6" s="5"/>
      <c r="U6" s="5"/>
      <c r="V6" s="5" t="s">
        <v>84</v>
      </c>
      <c r="W6" s="5"/>
      <c r="X6" s="5"/>
      <c r="Y6" s="5"/>
      <c r="Z6" s="5"/>
      <c r="AA6" s="35" t="s">
        <v>84</v>
      </c>
      <c r="AB6" s="5"/>
      <c r="AC6" s="35" t="s">
        <v>25</v>
      </c>
      <c r="AD6" s="5"/>
      <c r="AE6" s="94" t="s">
        <v>26</v>
      </c>
      <c r="AF6" s="80" t="s">
        <v>30</v>
      </c>
      <c r="AG6" s="5" t="s">
        <v>36</v>
      </c>
      <c r="AH6" s="5" t="s">
        <v>40</v>
      </c>
      <c r="AI6" s="5" t="s">
        <v>33</v>
      </c>
      <c r="AJ6" s="5" t="s">
        <v>41</v>
      </c>
      <c r="AK6" s="5"/>
      <c r="AL6" s="5"/>
      <c r="AM6" s="5"/>
      <c r="AN6" s="5"/>
      <c r="AO6" s="5"/>
      <c r="AP6" s="84"/>
      <c r="AQ6" s="84"/>
      <c r="AR6" s="84"/>
      <c r="AS6" s="84"/>
      <c r="AT6" s="84"/>
      <c r="AV6" s="85" t="str">
        <f>IF(COUNTIF(C6:AO6,"BUR")=0,"BUR","")</f>
        <v>BUR</v>
      </c>
      <c r="AW6" s="86" t="str">
        <f>IF(COUNTIF(C6:AO6,"CUR")=0,"CUR","")</f>
        <v/>
      </c>
      <c r="AX6" s="86" t="str">
        <f t="shared" ref="AX6:AX35" si="0">IF(COUNTIF(C6:AO6,"BON")=0,"BON","")</f>
        <v/>
      </c>
      <c r="AY6" s="86" t="str">
        <f>IF(COUNTIF(C6:AO6,"DES")=0,"DES","")</f>
        <v>DES</v>
      </c>
      <c r="AZ6" s="86" t="str">
        <f>IF(COUNTIF(C6:AO6,"DON")=0,"DON","")</f>
        <v/>
      </c>
      <c r="BA6" s="86" t="str">
        <f>IF(COUNTIF(C6:AO6,"FUM")=0,"FUM","")</f>
        <v/>
      </c>
      <c r="BB6" s="86" t="str">
        <f>IF(COUNTIF(C6:AO6,"LAM")=0,"LAM","")</f>
        <v>LAM</v>
      </c>
      <c r="BC6" s="86" t="str">
        <f>IF(COUNTIF(C6:AO6,"MAG")=0,"MAG","")</f>
        <v/>
      </c>
      <c r="BD6" s="86" t="str">
        <f>IF(COUNTIF(C6:AO6,"MAS")=0,"MAS","")</f>
        <v/>
      </c>
      <c r="BE6" s="86" t="str">
        <f t="shared" ref="BE6:BE35" si="1">IF(COUNTIF(C6:AO6,"SAL")=0,"SAL","")</f>
        <v>SAL</v>
      </c>
      <c r="BF6" s="86" t="str">
        <f>IF(COUNTIF(C6:AO6,"OGG")=0,"OGG","")</f>
        <v/>
      </c>
      <c r="BG6" s="86" t="str">
        <f>IF(COUNTIF(C6:AO6,"PAS")=0,"PAS","")</f>
        <v/>
      </c>
      <c r="BH6" s="86" t="str">
        <f t="shared" ref="BH6:BH35" si="2">IF(COUNTIF(C6:AO6,"RUZ")=0,"RUZ","")</f>
        <v>RUZ</v>
      </c>
      <c r="BI6" s="87" t="str">
        <f>IF(COUNTIF(C6:AO6,"SES")=0,"SES","")</f>
        <v/>
      </c>
      <c r="BJ6" s="87" t="str">
        <f t="shared" ref="BJ6:BJ35" si="3">IF(COUNTIF(C6:AO6,"LAM")=0,"LAM","")</f>
        <v>LAM</v>
      </c>
      <c r="BL6" s="10">
        <v>2</v>
      </c>
      <c r="BM6" s="5" t="str">
        <f t="shared" ref="BM6:BM35" si="4">B6</f>
        <v>V</v>
      </c>
      <c r="BN6" s="88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K6" s="10">
        <v>2</v>
      </c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</row>
    <row r="7" spans="1:100" s="75" customFormat="1" ht="16" thickBot="1" x14ac:dyDescent="0.25">
      <c r="A7" s="71">
        <v>3</v>
      </c>
      <c r="B7" s="72" t="s">
        <v>42</v>
      </c>
      <c r="C7" s="72"/>
      <c r="D7" s="19"/>
      <c r="E7" s="65"/>
      <c r="F7" s="19"/>
      <c r="G7" s="65" t="s">
        <v>89</v>
      </c>
      <c r="H7" s="19"/>
      <c r="I7" s="65"/>
      <c r="J7" s="19"/>
      <c r="K7" s="65"/>
      <c r="L7" s="65"/>
      <c r="M7" s="65"/>
      <c r="N7" s="19"/>
      <c r="O7" s="65"/>
      <c r="P7" s="65"/>
      <c r="Q7" s="19"/>
      <c r="R7" s="19"/>
      <c r="S7" s="19"/>
      <c r="T7" s="19"/>
      <c r="U7" s="19"/>
      <c r="V7" s="19"/>
      <c r="W7" s="19"/>
      <c r="X7" s="19"/>
      <c r="Y7" s="19"/>
      <c r="Z7" s="19"/>
      <c r="AA7" s="65"/>
      <c r="AB7" s="19"/>
      <c r="AC7" s="65" t="s">
        <v>32</v>
      </c>
      <c r="AD7" s="19"/>
      <c r="AE7" s="65" t="s">
        <v>26</v>
      </c>
      <c r="AF7" s="73" t="s">
        <v>30</v>
      </c>
      <c r="AG7" s="19" t="s">
        <v>36</v>
      </c>
      <c r="AH7" s="19" t="s">
        <v>40</v>
      </c>
      <c r="AI7" s="19" t="s">
        <v>33</v>
      </c>
      <c r="AJ7" s="19"/>
      <c r="AK7" s="19"/>
      <c r="AL7" s="19"/>
      <c r="AM7" s="19"/>
      <c r="AN7" s="19"/>
      <c r="AO7" s="19"/>
      <c r="AP7" s="74"/>
      <c r="AQ7" s="74"/>
      <c r="AR7" s="74"/>
      <c r="AS7" s="74"/>
      <c r="AT7" s="74"/>
      <c r="AV7" s="76" t="str">
        <f t="shared" ref="AV7:AV34" si="5">IF(COUNTIF(C7:AO7,"BUR")=0,"BUR","")</f>
        <v>BUR</v>
      </c>
      <c r="AW7" s="77" t="str">
        <f>IF(COUNTIF(C7:AO7,"CUR")=0,"CUR","")</f>
        <v/>
      </c>
      <c r="AX7" s="77" t="str">
        <f t="shared" si="0"/>
        <v/>
      </c>
      <c r="AY7" s="77" t="str">
        <f t="shared" ref="AY7:AY35" si="6">IF(COUNTIF(C7:AO7,"DES")=0,"DES","")</f>
        <v>DES</v>
      </c>
      <c r="AZ7" s="77" t="str">
        <f t="shared" ref="AZ7:AZ35" si="7">IF(COUNTIF(C7:AO7,"DON")=0,"DON","")</f>
        <v>DON</v>
      </c>
      <c r="BA7" s="77" t="str">
        <f t="shared" ref="BA7:BA35" si="8">IF(COUNTIF(C7:AO7,"FUM")=0,"FUM","")</f>
        <v>FUM</v>
      </c>
      <c r="BB7" s="77" t="str">
        <f t="shared" ref="BB7:BB35" si="9">IF(COUNTIF(C7:AO7,"LAM")=0,"LAM","")</f>
        <v>LAM</v>
      </c>
      <c r="BC7" s="77" t="str">
        <f t="shared" ref="BC7:BC35" si="10">IF(COUNTIF(C7:AO7,"MAG")=0,"MAG","")</f>
        <v/>
      </c>
      <c r="BD7" s="77" t="str">
        <f t="shared" ref="BD7:BD35" si="11">IF(COUNTIF(C7:AO7,"MAS")=0,"MAS","")</f>
        <v>MAS</v>
      </c>
      <c r="BE7" s="77" t="str">
        <f t="shared" si="1"/>
        <v>SAL</v>
      </c>
      <c r="BF7" s="77" t="str">
        <f t="shared" ref="BF7:BF35" si="12">IF(COUNTIF(C7:AO7,"OGG")=0,"OGG","")</f>
        <v/>
      </c>
      <c r="BG7" s="77" t="str">
        <f t="shared" ref="BG7:BG35" si="13">IF(COUNTIF(C7:AO7,"PAS")=0,"PAS","")</f>
        <v/>
      </c>
      <c r="BH7" s="77" t="str">
        <f t="shared" si="2"/>
        <v>RUZ</v>
      </c>
      <c r="BI7" s="78" t="str">
        <f t="shared" ref="BI7:BI35" si="14">IF(COUNTIF(C7:AO7,"SES")=0,"SES","")</f>
        <v>SES</v>
      </c>
      <c r="BJ7" s="78" t="str">
        <f t="shared" si="3"/>
        <v>LAM</v>
      </c>
      <c r="BL7" s="92">
        <v>3</v>
      </c>
      <c r="BM7" s="19" t="str">
        <f t="shared" si="4"/>
        <v>S</v>
      </c>
      <c r="BN7" s="20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K7" s="92">
        <v>3</v>
      </c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</row>
    <row r="8" spans="1:100" s="75" customFormat="1" ht="16" thickBot="1" x14ac:dyDescent="0.25">
      <c r="A8" s="71">
        <v>4</v>
      </c>
      <c r="B8" s="72" t="s">
        <v>43</v>
      </c>
      <c r="C8" s="72"/>
      <c r="D8" s="19"/>
      <c r="E8" s="65"/>
      <c r="F8" s="19"/>
      <c r="G8" s="65" t="s">
        <v>90</v>
      </c>
      <c r="H8" s="19"/>
      <c r="I8" s="65"/>
      <c r="J8" s="19"/>
      <c r="K8" s="65"/>
      <c r="L8" s="65"/>
      <c r="M8" s="65"/>
      <c r="N8" s="19"/>
      <c r="O8" s="65"/>
      <c r="P8" s="65"/>
      <c r="Q8" s="19"/>
      <c r="R8" s="19"/>
      <c r="S8" s="19"/>
      <c r="T8" s="19"/>
      <c r="U8" s="19"/>
      <c r="V8" s="19"/>
      <c r="W8" s="19"/>
      <c r="X8" s="19"/>
      <c r="Y8" s="19"/>
      <c r="Z8" s="19"/>
      <c r="AA8" s="65"/>
      <c r="AB8" s="19"/>
      <c r="AC8" s="65" t="s">
        <v>26</v>
      </c>
      <c r="AD8" s="19"/>
      <c r="AE8" s="65" t="s">
        <v>32</v>
      </c>
      <c r="AF8" s="73" t="s">
        <v>30</v>
      </c>
      <c r="AG8" s="19" t="s">
        <v>36</v>
      </c>
      <c r="AH8" s="19" t="s">
        <v>40</v>
      </c>
      <c r="AI8" s="19" t="s">
        <v>33</v>
      </c>
      <c r="AJ8" s="19"/>
      <c r="AK8" s="19"/>
      <c r="AL8" s="19"/>
      <c r="AM8" s="19"/>
      <c r="AN8" s="19"/>
      <c r="AO8" s="19"/>
      <c r="AP8" s="74"/>
      <c r="AQ8" s="74"/>
      <c r="AR8" s="74"/>
      <c r="AS8" s="74"/>
      <c r="AT8" s="74"/>
      <c r="AV8" s="76" t="str">
        <f t="shared" si="5"/>
        <v>BUR</v>
      </c>
      <c r="AW8" s="77" t="str">
        <f t="shared" ref="AW8:AW35" si="15">IF(COUNTIF(C8:AO8,"CUR")=0,"CUR","")</f>
        <v/>
      </c>
      <c r="AX8" s="77" t="str">
        <f t="shared" si="0"/>
        <v/>
      </c>
      <c r="AY8" s="77" t="str">
        <f t="shared" si="6"/>
        <v>DES</v>
      </c>
      <c r="AZ8" s="77" t="str">
        <f t="shared" si="7"/>
        <v>DON</v>
      </c>
      <c r="BA8" s="77" t="str">
        <f t="shared" si="8"/>
        <v>FUM</v>
      </c>
      <c r="BB8" s="77" t="str">
        <f t="shared" si="9"/>
        <v>LAM</v>
      </c>
      <c r="BC8" s="77" t="str">
        <f t="shared" si="10"/>
        <v/>
      </c>
      <c r="BD8" s="77" t="str">
        <f t="shared" si="11"/>
        <v>MAS</v>
      </c>
      <c r="BE8" s="77" t="str">
        <f t="shared" si="1"/>
        <v>SAL</v>
      </c>
      <c r="BF8" s="77" t="str">
        <f t="shared" si="12"/>
        <v/>
      </c>
      <c r="BG8" s="77" t="str">
        <f t="shared" si="13"/>
        <v/>
      </c>
      <c r="BH8" s="77" t="str">
        <f t="shared" si="2"/>
        <v>RUZ</v>
      </c>
      <c r="BI8" s="78" t="str">
        <f t="shared" si="14"/>
        <v>SES</v>
      </c>
      <c r="BJ8" s="78" t="str">
        <f t="shared" si="3"/>
        <v>LAM</v>
      </c>
      <c r="BL8" s="79">
        <v>4</v>
      </c>
      <c r="BM8" s="19" t="str">
        <f t="shared" si="4"/>
        <v>D</v>
      </c>
      <c r="BN8" s="20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K8" s="79">
        <v>4</v>
      </c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</row>
    <row r="9" spans="1:100" ht="16" thickBot="1" x14ac:dyDescent="0.25">
      <c r="A9" s="89">
        <v>5</v>
      </c>
      <c r="B9" s="35" t="s">
        <v>74</v>
      </c>
      <c r="C9" s="35" t="s">
        <v>83</v>
      </c>
      <c r="D9" s="5"/>
      <c r="E9" s="35" t="s">
        <v>38</v>
      </c>
      <c r="F9" s="5"/>
      <c r="G9" s="35" t="s">
        <v>26</v>
      </c>
      <c r="H9" s="5"/>
      <c r="I9" s="35"/>
      <c r="J9" s="5"/>
      <c r="K9" s="94" t="s">
        <v>25</v>
      </c>
      <c r="L9" s="94" t="s">
        <v>25</v>
      </c>
      <c r="M9" s="35"/>
      <c r="N9" s="5"/>
      <c r="O9" s="35"/>
      <c r="P9" s="35"/>
      <c r="Q9" s="5" t="s">
        <v>28</v>
      </c>
      <c r="R9" s="5" t="s">
        <v>38</v>
      </c>
      <c r="S9" s="95" t="s">
        <v>35</v>
      </c>
      <c r="T9" s="95" t="s">
        <v>32</v>
      </c>
      <c r="U9" s="5"/>
      <c r="V9" s="95" t="s">
        <v>84</v>
      </c>
      <c r="W9" s="95"/>
      <c r="X9" s="5"/>
      <c r="Y9" s="5"/>
      <c r="Z9" s="5"/>
      <c r="AA9" s="94" t="s">
        <v>32</v>
      </c>
      <c r="AB9" s="5"/>
      <c r="AC9" s="35" t="s">
        <v>34</v>
      </c>
      <c r="AD9" s="5"/>
      <c r="AE9" s="94" t="s">
        <v>32</v>
      </c>
      <c r="AF9" s="81" t="s">
        <v>30</v>
      </c>
      <c r="AG9" s="5" t="s">
        <v>36</v>
      </c>
      <c r="AH9" s="5" t="s">
        <v>40</v>
      </c>
      <c r="AI9" s="95"/>
      <c r="AJ9" s="5" t="s">
        <v>33</v>
      </c>
      <c r="AK9" s="5"/>
      <c r="AL9" s="5"/>
      <c r="AM9" s="5"/>
      <c r="AN9" s="5"/>
      <c r="AO9" s="5"/>
      <c r="AP9" s="84"/>
      <c r="AQ9" s="84"/>
      <c r="AR9" s="84"/>
      <c r="AS9" s="84"/>
      <c r="AT9" s="84"/>
      <c r="AV9" s="85" t="str">
        <f t="shared" si="5"/>
        <v/>
      </c>
      <c r="AW9" s="86" t="str">
        <f t="shared" si="15"/>
        <v/>
      </c>
      <c r="AX9" s="86" t="str">
        <f t="shared" si="0"/>
        <v/>
      </c>
      <c r="AY9" s="86" t="str">
        <f t="shared" si="6"/>
        <v/>
      </c>
      <c r="AZ9" s="86" t="str">
        <f t="shared" si="7"/>
        <v>DON</v>
      </c>
      <c r="BA9" s="86" t="str">
        <f t="shared" si="8"/>
        <v/>
      </c>
      <c r="BB9" s="86" t="str">
        <f t="shared" si="9"/>
        <v>LAM</v>
      </c>
      <c r="BC9" s="86" t="str">
        <f t="shared" si="10"/>
        <v/>
      </c>
      <c r="BD9" s="86" t="str">
        <f t="shared" si="11"/>
        <v/>
      </c>
      <c r="BE9" s="86" t="str">
        <f t="shared" si="1"/>
        <v>SAL</v>
      </c>
      <c r="BF9" s="86" t="str">
        <f t="shared" si="12"/>
        <v/>
      </c>
      <c r="BG9" s="86" t="str">
        <f t="shared" si="13"/>
        <v/>
      </c>
      <c r="BH9" s="86" t="str">
        <f t="shared" si="2"/>
        <v/>
      </c>
      <c r="BI9" s="87" t="str">
        <f t="shared" si="14"/>
        <v>SES</v>
      </c>
      <c r="BJ9" s="87" t="str">
        <f t="shared" si="3"/>
        <v>LAM</v>
      </c>
      <c r="BL9" s="9">
        <v>5</v>
      </c>
      <c r="BM9" s="5" t="str">
        <f t="shared" si="4"/>
        <v>L</v>
      </c>
      <c r="BN9" s="88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K9" s="9">
        <v>5</v>
      </c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</row>
    <row r="10" spans="1:100" s="75" customFormat="1" ht="16" thickBot="1" x14ac:dyDescent="0.25">
      <c r="A10" s="71">
        <v>6</v>
      </c>
      <c r="B10" s="72" t="s">
        <v>78</v>
      </c>
      <c r="C10" s="72"/>
      <c r="D10" s="19"/>
      <c r="E10" s="65"/>
      <c r="F10" s="19"/>
      <c r="G10" s="65" t="s">
        <v>91</v>
      </c>
      <c r="H10" s="19"/>
      <c r="I10" s="65"/>
      <c r="J10" s="19"/>
      <c r="K10" s="65"/>
      <c r="L10" s="65"/>
      <c r="M10" s="65"/>
      <c r="N10" s="19"/>
      <c r="O10" s="65"/>
      <c r="P10" s="65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65"/>
      <c r="AB10" s="19"/>
      <c r="AC10" s="65" t="s">
        <v>27</v>
      </c>
      <c r="AD10" s="19"/>
      <c r="AE10" s="65" t="s">
        <v>25</v>
      </c>
      <c r="AF10" s="73" t="s">
        <v>30</v>
      </c>
      <c r="AG10" s="19" t="s">
        <v>28</v>
      </c>
      <c r="AH10" s="19" t="s">
        <v>36</v>
      </c>
      <c r="AI10" s="19" t="s">
        <v>40</v>
      </c>
      <c r="AJ10" s="19" t="s">
        <v>33</v>
      </c>
      <c r="AK10" s="19"/>
      <c r="AL10" s="19"/>
      <c r="AM10" s="19"/>
      <c r="AN10" s="19"/>
      <c r="AO10" s="19"/>
      <c r="AP10" s="74"/>
      <c r="AQ10" s="74"/>
      <c r="AR10" s="74"/>
      <c r="AS10" s="74"/>
      <c r="AT10" s="74"/>
      <c r="AV10" s="76" t="str">
        <f t="shared" si="5"/>
        <v>BUR</v>
      </c>
      <c r="AW10" s="77" t="str">
        <f t="shared" si="15"/>
        <v/>
      </c>
      <c r="AX10" s="77" t="str">
        <f t="shared" si="0"/>
        <v>BON</v>
      </c>
      <c r="AY10" s="77" t="str">
        <f t="shared" si="6"/>
        <v>DES</v>
      </c>
      <c r="AZ10" s="77" t="str">
        <f t="shared" si="7"/>
        <v/>
      </c>
      <c r="BA10" s="77" t="str">
        <f t="shared" si="8"/>
        <v/>
      </c>
      <c r="BB10" s="77" t="str">
        <f t="shared" si="9"/>
        <v>LAM</v>
      </c>
      <c r="BC10" s="77" t="str">
        <f t="shared" si="10"/>
        <v/>
      </c>
      <c r="BD10" s="77" t="str">
        <f t="shared" si="11"/>
        <v/>
      </c>
      <c r="BE10" s="77" t="str">
        <f t="shared" si="1"/>
        <v>SAL</v>
      </c>
      <c r="BF10" s="77" t="str">
        <f t="shared" si="12"/>
        <v/>
      </c>
      <c r="BG10" s="77" t="str">
        <f t="shared" si="13"/>
        <v>PAS</v>
      </c>
      <c r="BH10" s="77" t="str">
        <f t="shared" si="2"/>
        <v>RUZ</v>
      </c>
      <c r="BI10" s="78" t="str">
        <f t="shared" si="14"/>
        <v>SES</v>
      </c>
      <c r="BJ10" s="78" t="str">
        <f t="shared" si="3"/>
        <v>LAM</v>
      </c>
      <c r="BL10" s="79">
        <v>6</v>
      </c>
      <c r="BM10" s="19" t="str">
        <f t="shared" si="4"/>
        <v>MA</v>
      </c>
      <c r="BN10" s="20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K10" s="79">
        <v>6</v>
      </c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</row>
    <row r="11" spans="1:100" ht="16" thickBot="1" x14ac:dyDescent="0.25">
      <c r="A11" s="89">
        <v>7</v>
      </c>
      <c r="B11" s="35" t="s">
        <v>75</v>
      </c>
      <c r="C11" s="35" t="s">
        <v>27</v>
      </c>
      <c r="D11" s="5" t="s">
        <v>39</v>
      </c>
      <c r="E11" s="35" t="s">
        <v>26</v>
      </c>
      <c r="F11" s="5"/>
      <c r="G11" s="35" t="s">
        <v>35</v>
      </c>
      <c r="H11" s="5"/>
      <c r="I11" s="35"/>
      <c r="J11" s="5"/>
      <c r="K11" s="35" t="s">
        <v>34</v>
      </c>
      <c r="L11" s="35" t="s">
        <v>34</v>
      </c>
      <c r="M11" s="35"/>
      <c r="N11" s="5"/>
      <c r="O11" s="35"/>
      <c r="P11" s="35"/>
      <c r="Q11" s="5" t="s">
        <v>29</v>
      </c>
      <c r="R11" s="5" t="s">
        <v>30</v>
      </c>
      <c r="S11" s="5" t="s">
        <v>37</v>
      </c>
      <c r="T11" s="5" t="s">
        <v>25</v>
      </c>
      <c r="U11" s="5"/>
      <c r="V11" s="95" t="s">
        <v>36</v>
      </c>
      <c r="W11" s="95" t="s">
        <v>38</v>
      </c>
      <c r="X11" s="5" t="s">
        <v>41</v>
      </c>
      <c r="Y11" s="5" t="s">
        <v>32</v>
      </c>
      <c r="Z11" s="5"/>
      <c r="AA11" s="35" t="s">
        <v>71</v>
      </c>
      <c r="AB11" s="5"/>
      <c r="AC11" s="94" t="s">
        <v>36</v>
      </c>
      <c r="AD11" s="5"/>
      <c r="AE11" s="94" t="s">
        <v>38</v>
      </c>
      <c r="AF11" s="80" t="s">
        <v>28</v>
      </c>
      <c r="AG11" s="5" t="s">
        <v>40</v>
      </c>
      <c r="AH11" s="5"/>
      <c r="AI11" s="5"/>
      <c r="AJ11" s="5"/>
      <c r="AK11" s="5"/>
      <c r="AL11" s="5"/>
      <c r="AM11" s="5"/>
      <c r="AN11" s="5"/>
      <c r="AO11" s="5"/>
      <c r="AP11" s="84"/>
      <c r="AQ11" s="84"/>
      <c r="AR11" s="84"/>
      <c r="AS11" s="84"/>
      <c r="AT11" s="84"/>
      <c r="AV11" s="85" t="str">
        <f t="shared" si="5"/>
        <v/>
      </c>
      <c r="AW11" s="86" t="str">
        <f t="shared" si="15"/>
        <v>CUR</v>
      </c>
      <c r="AX11" s="86" t="str">
        <f t="shared" si="0"/>
        <v/>
      </c>
      <c r="AY11" s="86" t="str">
        <f t="shared" si="6"/>
        <v/>
      </c>
      <c r="AZ11" s="86" t="str">
        <f t="shared" si="7"/>
        <v/>
      </c>
      <c r="BA11" s="86" t="str">
        <f t="shared" si="8"/>
        <v/>
      </c>
      <c r="BB11" s="86" t="str">
        <f t="shared" si="9"/>
        <v/>
      </c>
      <c r="BC11" s="86" t="str">
        <f t="shared" si="10"/>
        <v/>
      </c>
      <c r="BD11" s="86" t="str">
        <f t="shared" si="11"/>
        <v/>
      </c>
      <c r="BE11" s="86" t="str">
        <f t="shared" si="1"/>
        <v/>
      </c>
      <c r="BF11" s="86" t="str">
        <f t="shared" si="12"/>
        <v/>
      </c>
      <c r="BG11" s="86" t="str">
        <f t="shared" si="13"/>
        <v/>
      </c>
      <c r="BH11" s="86" t="str">
        <f t="shared" si="2"/>
        <v/>
      </c>
      <c r="BI11" s="87" t="str">
        <f t="shared" si="14"/>
        <v/>
      </c>
      <c r="BJ11" s="87" t="str">
        <f t="shared" si="3"/>
        <v/>
      </c>
      <c r="BL11" s="9">
        <v>7</v>
      </c>
      <c r="BM11" s="5" t="str">
        <f t="shared" si="4"/>
        <v>M</v>
      </c>
      <c r="BN11" s="88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K11" s="9">
        <v>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</row>
    <row r="12" spans="1:100" ht="16" thickBot="1" x14ac:dyDescent="0.25">
      <c r="A12" s="89">
        <v>8</v>
      </c>
      <c r="B12" s="35" t="s">
        <v>76</v>
      </c>
      <c r="C12" s="35" t="s">
        <v>32</v>
      </c>
      <c r="D12" s="5"/>
      <c r="E12" s="35" t="s">
        <v>37</v>
      </c>
      <c r="F12" s="5"/>
      <c r="G12" s="35" t="s">
        <v>34</v>
      </c>
      <c r="H12" s="5"/>
      <c r="I12" s="35"/>
      <c r="J12" s="5"/>
      <c r="K12" s="35" t="s">
        <v>39</v>
      </c>
      <c r="L12" s="35" t="s">
        <v>39</v>
      </c>
      <c r="M12" s="35"/>
      <c r="N12" s="5"/>
      <c r="O12" s="35"/>
      <c r="P12" s="35" t="s">
        <v>26</v>
      </c>
      <c r="Q12" s="5" t="s">
        <v>36</v>
      </c>
      <c r="R12" s="5" t="s">
        <v>38</v>
      </c>
      <c r="S12" s="5"/>
      <c r="T12" s="5"/>
      <c r="U12" s="5"/>
      <c r="V12" s="95" t="s">
        <v>27</v>
      </c>
      <c r="W12" s="95" t="s">
        <v>71</v>
      </c>
      <c r="X12" s="5"/>
      <c r="Y12" s="5"/>
      <c r="Z12" s="5"/>
      <c r="AA12" s="35" t="s">
        <v>25</v>
      </c>
      <c r="AB12" s="5"/>
      <c r="AC12" s="94" t="s">
        <v>27</v>
      </c>
      <c r="AD12" s="5"/>
      <c r="AE12" s="94" t="s">
        <v>71</v>
      </c>
      <c r="AF12" s="80" t="s">
        <v>28</v>
      </c>
      <c r="AG12" s="5" t="s">
        <v>40</v>
      </c>
      <c r="AH12" s="5" t="s">
        <v>92</v>
      </c>
      <c r="AI12" s="5"/>
      <c r="AJ12" s="5"/>
      <c r="AK12" s="5"/>
      <c r="AL12" s="5"/>
      <c r="AM12" s="5"/>
      <c r="AN12" s="5"/>
      <c r="AO12" s="5"/>
      <c r="AP12" s="84"/>
      <c r="AQ12" s="84"/>
      <c r="AR12" s="84"/>
      <c r="AS12" s="84"/>
      <c r="AT12" s="84"/>
      <c r="AV12" s="85" t="str">
        <f t="shared" si="5"/>
        <v/>
      </c>
      <c r="AW12" s="86" t="str">
        <f t="shared" si="15"/>
        <v>CUR</v>
      </c>
      <c r="AX12" s="86" t="str">
        <f t="shared" si="0"/>
        <v/>
      </c>
      <c r="AY12" s="86" t="str">
        <f t="shared" si="6"/>
        <v/>
      </c>
      <c r="AZ12" s="86" t="str">
        <f t="shared" si="7"/>
        <v/>
      </c>
      <c r="BA12" s="86" t="str">
        <f t="shared" si="8"/>
        <v/>
      </c>
      <c r="BB12" s="86" t="str">
        <f t="shared" si="9"/>
        <v/>
      </c>
      <c r="BC12" s="86" t="str">
        <f t="shared" si="10"/>
        <v/>
      </c>
      <c r="BD12" s="86" t="str">
        <f t="shared" si="11"/>
        <v/>
      </c>
      <c r="BE12" s="86" t="str">
        <f t="shared" si="1"/>
        <v/>
      </c>
      <c r="BF12" s="86" t="str">
        <f t="shared" si="12"/>
        <v/>
      </c>
      <c r="BG12" s="86" t="str">
        <f t="shared" si="13"/>
        <v/>
      </c>
      <c r="BH12" s="86" t="str">
        <f t="shared" si="2"/>
        <v>RUZ</v>
      </c>
      <c r="BI12" s="87" t="str">
        <f t="shared" si="14"/>
        <v/>
      </c>
      <c r="BJ12" s="87" t="str">
        <f t="shared" si="3"/>
        <v/>
      </c>
      <c r="BL12" s="10">
        <v>8</v>
      </c>
      <c r="BM12" s="5" t="str">
        <f t="shared" si="4"/>
        <v>G</v>
      </c>
      <c r="BN12" s="88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K12" s="10">
        <v>8</v>
      </c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</row>
    <row r="13" spans="1:100" ht="16" thickBot="1" x14ac:dyDescent="0.25">
      <c r="A13" s="89">
        <v>9</v>
      </c>
      <c r="B13" s="35" t="s">
        <v>77</v>
      </c>
      <c r="C13" s="35" t="s">
        <v>36</v>
      </c>
      <c r="D13" s="5" t="s">
        <v>38</v>
      </c>
      <c r="E13" s="35" t="s">
        <v>34</v>
      </c>
      <c r="F13" s="5"/>
      <c r="G13" s="35" t="s">
        <v>39</v>
      </c>
      <c r="H13" s="5"/>
      <c r="I13" s="35"/>
      <c r="J13" s="5"/>
      <c r="K13" s="35" t="s">
        <v>71</v>
      </c>
      <c r="L13" s="35" t="s">
        <v>71</v>
      </c>
      <c r="M13" s="35"/>
      <c r="N13" s="5"/>
      <c r="O13" s="35"/>
      <c r="P13" s="35"/>
      <c r="Q13" s="5" t="s">
        <v>26</v>
      </c>
      <c r="R13" s="5" t="s">
        <v>27</v>
      </c>
      <c r="S13" s="95" t="s">
        <v>37</v>
      </c>
      <c r="T13" s="95" t="s">
        <v>25</v>
      </c>
      <c r="U13" s="5"/>
      <c r="V13" s="95" t="s">
        <v>35</v>
      </c>
      <c r="W13" s="95" t="s">
        <v>32</v>
      </c>
      <c r="X13" s="95" t="s">
        <v>37</v>
      </c>
      <c r="Y13" s="95" t="s">
        <v>25</v>
      </c>
      <c r="Z13" s="5"/>
      <c r="AA13" s="35" t="s">
        <v>41</v>
      </c>
      <c r="AB13" s="5"/>
      <c r="AC13" s="94" t="s">
        <v>35</v>
      </c>
      <c r="AD13" s="5"/>
      <c r="AE13" s="94" t="s">
        <v>25</v>
      </c>
      <c r="AF13" s="80" t="s">
        <v>28</v>
      </c>
      <c r="AG13" s="5" t="s">
        <v>40</v>
      </c>
      <c r="AH13" s="5"/>
      <c r="AI13" s="5"/>
      <c r="AJ13" s="5"/>
      <c r="AK13" s="5"/>
      <c r="AL13" s="5"/>
      <c r="AM13" s="5"/>
      <c r="AN13" s="5"/>
      <c r="AO13" s="5"/>
      <c r="AP13" s="84"/>
      <c r="AQ13" s="84"/>
      <c r="AR13" s="84"/>
      <c r="AS13" s="84"/>
      <c r="AT13" s="84"/>
      <c r="AV13" s="85" t="str">
        <f t="shared" si="5"/>
        <v/>
      </c>
      <c r="AW13" s="86" t="str">
        <f t="shared" si="15"/>
        <v>CUR</v>
      </c>
      <c r="AX13" s="86" t="str">
        <f t="shared" si="0"/>
        <v/>
      </c>
      <c r="AY13" s="86" t="str">
        <f t="shared" si="6"/>
        <v/>
      </c>
      <c r="AZ13" s="86" t="str">
        <f t="shared" si="7"/>
        <v/>
      </c>
      <c r="BA13" s="86" t="str">
        <f t="shared" si="8"/>
        <v/>
      </c>
      <c r="BB13" s="86" t="str">
        <f t="shared" si="9"/>
        <v/>
      </c>
      <c r="BC13" s="86" t="str">
        <f t="shared" si="10"/>
        <v/>
      </c>
      <c r="BD13" s="86" t="str">
        <f t="shared" si="11"/>
        <v/>
      </c>
      <c r="BE13" s="86" t="str">
        <f t="shared" si="1"/>
        <v/>
      </c>
      <c r="BF13" s="86" t="str">
        <f t="shared" si="12"/>
        <v/>
      </c>
      <c r="BG13" s="86" t="str">
        <f t="shared" si="13"/>
        <v/>
      </c>
      <c r="BH13" s="86" t="str">
        <f t="shared" si="2"/>
        <v/>
      </c>
      <c r="BI13" s="87" t="str">
        <f t="shared" si="14"/>
        <v/>
      </c>
      <c r="BJ13" s="87" t="str">
        <f t="shared" si="3"/>
        <v/>
      </c>
      <c r="BL13" s="10">
        <v>9</v>
      </c>
      <c r="BM13" s="5" t="str">
        <f t="shared" si="4"/>
        <v>V</v>
      </c>
      <c r="BN13" s="88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K13" s="10">
        <v>9</v>
      </c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</row>
    <row r="14" spans="1:100" s="75" customFormat="1" ht="16" thickBot="1" x14ac:dyDescent="0.25">
      <c r="A14" s="71">
        <v>10</v>
      </c>
      <c r="B14" s="72" t="s">
        <v>42</v>
      </c>
      <c r="C14" s="72"/>
      <c r="D14" s="19"/>
      <c r="E14" s="65"/>
      <c r="F14" s="19"/>
      <c r="G14" s="94" t="s">
        <v>36</v>
      </c>
      <c r="H14" s="19"/>
      <c r="I14" s="65"/>
      <c r="J14" s="19"/>
      <c r="K14" s="65"/>
      <c r="L14" s="65"/>
      <c r="M14" s="65"/>
      <c r="N14" s="19"/>
      <c r="O14" s="65"/>
      <c r="P14" s="65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5"/>
      <c r="AB14" s="19"/>
      <c r="AC14" s="94" t="s">
        <v>36</v>
      </c>
      <c r="AD14" s="19"/>
      <c r="AE14" s="65" t="s">
        <v>38</v>
      </c>
      <c r="AF14" s="73" t="s">
        <v>28</v>
      </c>
      <c r="AG14" s="19" t="s">
        <v>40</v>
      </c>
      <c r="AH14" s="19" t="s">
        <v>27</v>
      </c>
      <c r="AI14" s="19"/>
      <c r="AJ14" s="19"/>
      <c r="AK14" s="19"/>
      <c r="AL14" s="19"/>
      <c r="AM14" s="19"/>
      <c r="AN14" s="19"/>
      <c r="AO14" s="19"/>
      <c r="AP14" s="74"/>
      <c r="AQ14" s="74"/>
      <c r="AR14" s="74"/>
      <c r="AS14" s="74"/>
      <c r="AT14" s="74"/>
      <c r="AV14" s="76" t="str">
        <f t="shared" si="5"/>
        <v>BUR</v>
      </c>
      <c r="AW14" s="77" t="str">
        <f t="shared" si="15"/>
        <v>CUR</v>
      </c>
      <c r="AX14" s="77" t="str">
        <f t="shared" si="0"/>
        <v>BON</v>
      </c>
      <c r="AY14" s="77" t="str">
        <f t="shared" si="6"/>
        <v/>
      </c>
      <c r="AZ14" s="77" t="str">
        <f t="shared" si="7"/>
        <v/>
      </c>
      <c r="BA14" s="77" t="str">
        <f t="shared" si="8"/>
        <v>FUM</v>
      </c>
      <c r="BB14" s="77" t="str">
        <f t="shared" si="9"/>
        <v>LAM</v>
      </c>
      <c r="BC14" s="77" t="str">
        <f t="shared" si="10"/>
        <v/>
      </c>
      <c r="BD14" s="77" t="str">
        <f t="shared" si="11"/>
        <v/>
      </c>
      <c r="BE14" s="77" t="str">
        <f t="shared" si="1"/>
        <v>SAL</v>
      </c>
      <c r="BF14" s="77" t="str">
        <f t="shared" si="12"/>
        <v/>
      </c>
      <c r="BG14" s="77" t="str">
        <f t="shared" si="13"/>
        <v>PAS</v>
      </c>
      <c r="BH14" s="77" t="str">
        <f t="shared" si="2"/>
        <v>RUZ</v>
      </c>
      <c r="BI14" s="78" t="str">
        <f t="shared" si="14"/>
        <v>SES</v>
      </c>
      <c r="BJ14" s="78" t="str">
        <f t="shared" si="3"/>
        <v>LAM</v>
      </c>
      <c r="BL14" s="92">
        <v>10</v>
      </c>
      <c r="BM14" s="19" t="str">
        <f t="shared" si="4"/>
        <v>S</v>
      </c>
      <c r="BN14" s="20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K14" s="92">
        <v>10</v>
      </c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</row>
    <row r="15" spans="1:100" s="75" customFormat="1" ht="18" customHeight="1" thickBot="1" x14ac:dyDescent="0.25">
      <c r="A15" s="71">
        <v>11</v>
      </c>
      <c r="B15" s="72" t="s">
        <v>43</v>
      </c>
      <c r="C15" s="72"/>
      <c r="D15" s="19"/>
      <c r="E15" s="65"/>
      <c r="F15" s="19"/>
      <c r="G15" s="94" t="s">
        <v>38</v>
      </c>
      <c r="H15" s="19"/>
      <c r="I15" s="65"/>
      <c r="J15" s="19"/>
      <c r="K15" s="65"/>
      <c r="L15" s="65"/>
      <c r="M15" s="65"/>
      <c r="N15" s="19"/>
      <c r="O15" s="65"/>
      <c r="P15" s="65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65"/>
      <c r="AB15" s="19"/>
      <c r="AC15" s="94" t="s">
        <v>38</v>
      </c>
      <c r="AD15" s="19"/>
      <c r="AE15" s="65" t="s">
        <v>36</v>
      </c>
      <c r="AF15" s="73" t="s">
        <v>28</v>
      </c>
      <c r="AG15" s="19" t="s">
        <v>40</v>
      </c>
      <c r="AH15" s="19" t="s">
        <v>27</v>
      </c>
      <c r="AI15" s="19"/>
      <c r="AJ15" s="19"/>
      <c r="AK15" s="19"/>
      <c r="AL15" s="19"/>
      <c r="AM15" s="19"/>
      <c r="AN15" s="19"/>
      <c r="AO15" s="19"/>
      <c r="AP15" s="74"/>
      <c r="AQ15" s="74"/>
      <c r="AR15" s="74"/>
      <c r="AS15" s="74"/>
      <c r="AT15" s="74"/>
      <c r="AV15" s="76" t="str">
        <f t="shared" si="5"/>
        <v>BUR</v>
      </c>
      <c r="AW15" s="77" t="str">
        <f t="shared" si="15"/>
        <v>CUR</v>
      </c>
      <c r="AX15" s="77" t="str">
        <f t="shared" si="0"/>
        <v>BON</v>
      </c>
      <c r="AY15" s="77" t="str">
        <f t="shared" si="6"/>
        <v/>
      </c>
      <c r="AZ15" s="77" t="str">
        <f t="shared" si="7"/>
        <v/>
      </c>
      <c r="BA15" s="77" t="str">
        <f t="shared" si="8"/>
        <v>FUM</v>
      </c>
      <c r="BB15" s="77" t="str">
        <f t="shared" si="9"/>
        <v>LAM</v>
      </c>
      <c r="BC15" s="77" t="str">
        <f t="shared" si="10"/>
        <v/>
      </c>
      <c r="BD15" s="77" t="str">
        <f t="shared" si="11"/>
        <v/>
      </c>
      <c r="BE15" s="77" t="str">
        <f t="shared" si="1"/>
        <v>SAL</v>
      </c>
      <c r="BF15" s="77" t="str">
        <f t="shared" si="12"/>
        <v/>
      </c>
      <c r="BG15" s="77" t="str">
        <f t="shared" si="13"/>
        <v>PAS</v>
      </c>
      <c r="BH15" s="77" t="str">
        <f>IF(COUNTIF(C15:AO15,"RUZ")=0,"RUZ","")</f>
        <v>RUZ</v>
      </c>
      <c r="BI15" s="78" t="str">
        <f t="shared" si="14"/>
        <v>SES</v>
      </c>
      <c r="BJ15" s="78" t="str">
        <f t="shared" si="3"/>
        <v>LAM</v>
      </c>
      <c r="BL15" s="79">
        <v>11</v>
      </c>
      <c r="BM15" s="19" t="str">
        <f t="shared" si="4"/>
        <v>D</v>
      </c>
      <c r="BN15" s="20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K15" s="79">
        <v>11</v>
      </c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</row>
    <row r="16" spans="1:100" ht="23" thickBot="1" x14ac:dyDescent="0.25">
      <c r="A16" s="89">
        <v>12</v>
      </c>
      <c r="B16" s="35" t="s">
        <v>74</v>
      </c>
      <c r="C16" s="35" t="s">
        <v>83</v>
      </c>
      <c r="D16" s="5"/>
      <c r="E16" s="35" t="s">
        <v>32</v>
      </c>
      <c r="F16" s="5"/>
      <c r="G16" s="35" t="s">
        <v>36</v>
      </c>
      <c r="H16" s="5"/>
      <c r="I16" s="35"/>
      <c r="J16" s="5"/>
      <c r="K16" s="35" t="s">
        <v>39</v>
      </c>
      <c r="L16" s="35" t="s">
        <v>25</v>
      </c>
      <c r="M16" s="35"/>
      <c r="N16" s="5"/>
      <c r="O16" s="35"/>
      <c r="P16" s="35"/>
      <c r="Q16" s="5" t="s">
        <v>40</v>
      </c>
      <c r="R16" s="82" t="s">
        <v>38</v>
      </c>
      <c r="S16" s="5" t="s">
        <v>35</v>
      </c>
      <c r="T16" s="82" t="s">
        <v>34</v>
      </c>
      <c r="U16" s="5"/>
      <c r="V16" s="95" t="s">
        <v>26</v>
      </c>
      <c r="W16" s="95" t="s">
        <v>71</v>
      </c>
      <c r="X16" s="82"/>
      <c r="Y16" s="5"/>
      <c r="Z16" s="5"/>
      <c r="AA16" s="35" t="s">
        <v>30</v>
      </c>
      <c r="AB16" s="5"/>
      <c r="AC16" s="94" t="s">
        <v>71</v>
      </c>
      <c r="AD16" s="5"/>
      <c r="AE16" s="94" t="s">
        <v>26</v>
      </c>
      <c r="AF16" s="80" t="s">
        <v>28</v>
      </c>
      <c r="AG16" s="5" t="s">
        <v>27</v>
      </c>
      <c r="AH16" s="5" t="s">
        <v>93</v>
      </c>
      <c r="AI16" s="5"/>
      <c r="AJ16" s="5"/>
      <c r="AK16" s="5"/>
      <c r="AL16" s="5"/>
      <c r="AM16" s="5"/>
      <c r="AN16" s="5"/>
      <c r="AO16" s="5"/>
      <c r="AP16" s="84"/>
      <c r="AQ16" s="84"/>
      <c r="AR16" s="84"/>
      <c r="AS16" s="84"/>
      <c r="AT16" s="84"/>
      <c r="AV16" s="85" t="str">
        <f t="shared" si="5"/>
        <v/>
      </c>
      <c r="AW16" s="86" t="str">
        <f t="shared" si="15"/>
        <v>CUR</v>
      </c>
      <c r="AX16" s="86" t="str">
        <f t="shared" si="0"/>
        <v/>
      </c>
      <c r="AY16" s="86" t="str">
        <f t="shared" si="6"/>
        <v/>
      </c>
      <c r="AZ16" s="86" t="str">
        <f t="shared" si="7"/>
        <v/>
      </c>
      <c r="BA16" s="86" t="str">
        <f t="shared" si="8"/>
        <v/>
      </c>
      <c r="BB16" s="86" t="str">
        <f t="shared" si="9"/>
        <v/>
      </c>
      <c r="BC16" s="86" t="str">
        <f t="shared" si="10"/>
        <v/>
      </c>
      <c r="BD16" s="86" t="str">
        <f t="shared" si="11"/>
        <v/>
      </c>
      <c r="BE16" s="86" t="str">
        <f t="shared" si="1"/>
        <v/>
      </c>
      <c r="BF16" s="86" t="str">
        <f t="shared" si="12"/>
        <v/>
      </c>
      <c r="BG16" s="86" t="str">
        <f t="shared" si="13"/>
        <v/>
      </c>
      <c r="BH16" s="86" t="str">
        <f t="shared" si="2"/>
        <v/>
      </c>
      <c r="BI16" s="87" t="str">
        <f t="shared" si="14"/>
        <v>SES</v>
      </c>
      <c r="BJ16" s="87" t="str">
        <f t="shared" si="3"/>
        <v/>
      </c>
      <c r="BL16" s="9">
        <v>12</v>
      </c>
      <c r="BM16" s="5" t="str">
        <f t="shared" si="4"/>
        <v>L</v>
      </c>
      <c r="BN16" s="88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K16" s="9">
        <v>12</v>
      </c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</row>
    <row r="17" spans="1:100" ht="16" thickBot="1" x14ac:dyDescent="0.25">
      <c r="A17" s="89">
        <v>13</v>
      </c>
      <c r="B17" s="35" t="s">
        <v>78</v>
      </c>
      <c r="C17" s="35" t="s">
        <v>32</v>
      </c>
      <c r="D17" s="5"/>
      <c r="E17" s="35" t="s">
        <v>39</v>
      </c>
      <c r="F17" s="5"/>
      <c r="G17" s="35" t="s">
        <v>26</v>
      </c>
      <c r="H17" s="5"/>
      <c r="I17" s="35"/>
      <c r="J17" s="5"/>
      <c r="K17" s="35" t="s">
        <v>34</v>
      </c>
      <c r="L17" s="94" t="s">
        <v>71</v>
      </c>
      <c r="M17" s="35"/>
      <c r="N17" s="5"/>
      <c r="O17" s="35" t="s">
        <v>28</v>
      </c>
      <c r="P17" s="35"/>
      <c r="Q17" s="5" t="s">
        <v>29</v>
      </c>
      <c r="R17" s="5" t="s">
        <v>30</v>
      </c>
      <c r="S17" s="5" t="s">
        <v>36</v>
      </c>
      <c r="T17" s="5" t="s">
        <v>25</v>
      </c>
      <c r="U17" s="5"/>
      <c r="V17" s="95" t="s">
        <v>37</v>
      </c>
      <c r="W17" s="5" t="s">
        <v>38</v>
      </c>
      <c r="X17" s="5"/>
      <c r="Y17" s="5"/>
      <c r="Z17" s="5"/>
      <c r="AA17" s="35" t="s">
        <v>35</v>
      </c>
      <c r="AB17" s="5"/>
      <c r="AC17" s="94" t="s">
        <v>37</v>
      </c>
      <c r="AD17" s="5"/>
      <c r="AE17" s="94" t="s">
        <v>71</v>
      </c>
      <c r="AF17" s="80"/>
      <c r="AG17" s="5"/>
      <c r="AH17" s="5"/>
      <c r="AI17" s="5"/>
      <c r="AJ17" s="5"/>
      <c r="AK17" s="5"/>
      <c r="AL17" s="5"/>
      <c r="AM17" s="5"/>
      <c r="AN17" s="5"/>
      <c r="AO17" s="5"/>
      <c r="AP17" s="84"/>
      <c r="AQ17" s="84"/>
      <c r="AR17" s="84"/>
      <c r="AS17" s="84"/>
      <c r="AT17" s="84"/>
      <c r="AV17" s="85" t="str">
        <f t="shared" si="5"/>
        <v/>
      </c>
      <c r="AW17" s="86" t="str">
        <f t="shared" si="15"/>
        <v>CUR</v>
      </c>
      <c r="AX17" s="86" t="str">
        <f t="shared" si="0"/>
        <v/>
      </c>
      <c r="AY17" s="86" t="str">
        <f t="shared" si="6"/>
        <v/>
      </c>
      <c r="AZ17" s="86" t="str">
        <f t="shared" si="7"/>
        <v>DON</v>
      </c>
      <c r="BA17" s="86" t="str">
        <f t="shared" si="8"/>
        <v/>
      </c>
      <c r="BB17" s="86" t="str">
        <f t="shared" si="9"/>
        <v/>
      </c>
      <c r="BC17" s="86" t="str">
        <f t="shared" si="10"/>
        <v>MAG</v>
      </c>
      <c r="BD17" s="86" t="str">
        <f t="shared" si="11"/>
        <v/>
      </c>
      <c r="BE17" s="86" t="str">
        <f t="shared" si="1"/>
        <v/>
      </c>
      <c r="BF17" s="86" t="str">
        <f t="shared" si="12"/>
        <v/>
      </c>
      <c r="BG17" s="86" t="str">
        <f t="shared" si="13"/>
        <v/>
      </c>
      <c r="BH17" s="86" t="str">
        <f t="shared" si="2"/>
        <v/>
      </c>
      <c r="BI17" s="87" t="str">
        <f t="shared" si="14"/>
        <v/>
      </c>
      <c r="BJ17" s="87" t="str">
        <f t="shared" si="3"/>
        <v/>
      </c>
      <c r="BL17" s="9">
        <v>13</v>
      </c>
      <c r="BM17" s="5" t="str">
        <f t="shared" si="4"/>
        <v>MA</v>
      </c>
      <c r="BN17" s="88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K17" s="9">
        <v>13</v>
      </c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</row>
    <row r="18" spans="1:100" ht="16" thickBot="1" x14ac:dyDescent="0.25">
      <c r="A18" s="89">
        <v>14</v>
      </c>
      <c r="B18" s="35" t="s">
        <v>75</v>
      </c>
      <c r="C18" s="35" t="s">
        <v>28</v>
      </c>
      <c r="D18" s="5"/>
      <c r="E18" s="35" t="s">
        <v>25</v>
      </c>
      <c r="F18" s="5"/>
      <c r="G18" s="35" t="s">
        <v>35</v>
      </c>
      <c r="H18" s="5"/>
      <c r="I18" s="35"/>
      <c r="J18" s="5"/>
      <c r="K18" s="35" t="s">
        <v>26</v>
      </c>
      <c r="L18" s="35" t="s">
        <v>27</v>
      </c>
      <c r="M18" s="35"/>
      <c r="N18" s="5"/>
      <c r="O18" s="35"/>
      <c r="P18" s="35"/>
      <c r="Q18" s="5" t="s">
        <v>29</v>
      </c>
      <c r="R18" s="5" t="s">
        <v>30</v>
      </c>
      <c r="S18" s="95" t="s">
        <v>37</v>
      </c>
      <c r="T18" s="5" t="s">
        <v>71</v>
      </c>
      <c r="U18" s="5"/>
      <c r="V18" s="5" t="s">
        <v>36</v>
      </c>
      <c r="W18" s="5" t="s">
        <v>40</v>
      </c>
      <c r="X18" s="5" t="s">
        <v>41</v>
      </c>
      <c r="Y18" s="95" t="s">
        <v>32</v>
      </c>
      <c r="Z18" s="5"/>
      <c r="AA18" s="35" t="s">
        <v>39</v>
      </c>
      <c r="AB18" s="5"/>
      <c r="AC18" s="94" t="s">
        <v>40</v>
      </c>
      <c r="AD18" s="5"/>
      <c r="AE18" s="94" t="s">
        <v>37</v>
      </c>
      <c r="AF18" s="80"/>
      <c r="AG18" s="5"/>
      <c r="AH18" s="5"/>
      <c r="AI18" s="5"/>
      <c r="AJ18" s="5"/>
      <c r="AK18" s="5"/>
      <c r="AL18" s="5"/>
      <c r="AM18" s="5"/>
      <c r="AN18" s="5"/>
      <c r="AO18" s="5"/>
      <c r="AP18" s="84"/>
      <c r="AQ18" s="84"/>
      <c r="AR18" s="84"/>
      <c r="AS18" s="84"/>
      <c r="AT18" s="84"/>
      <c r="AV18" s="85" t="str">
        <f t="shared" si="5"/>
        <v>BUR</v>
      </c>
      <c r="AW18" s="86" t="str">
        <f t="shared" si="15"/>
        <v>CUR</v>
      </c>
      <c r="AX18" s="86" t="str">
        <f t="shared" si="0"/>
        <v/>
      </c>
      <c r="AY18" s="86" t="str">
        <f t="shared" si="6"/>
        <v>DES</v>
      </c>
      <c r="AZ18" s="86" t="str">
        <f t="shared" si="7"/>
        <v/>
      </c>
      <c r="BA18" s="86" t="str">
        <f t="shared" si="8"/>
        <v/>
      </c>
      <c r="BB18" s="86" t="str">
        <f t="shared" si="9"/>
        <v/>
      </c>
      <c r="BC18" s="86" t="str">
        <f t="shared" si="10"/>
        <v/>
      </c>
      <c r="BD18" s="86" t="str">
        <f t="shared" si="11"/>
        <v/>
      </c>
      <c r="BE18" s="86" t="str">
        <f t="shared" si="1"/>
        <v/>
      </c>
      <c r="BF18" s="86" t="str">
        <f t="shared" si="12"/>
        <v/>
      </c>
      <c r="BG18" s="86" t="str">
        <f t="shared" si="13"/>
        <v/>
      </c>
      <c r="BH18" s="86" t="str">
        <f t="shared" si="2"/>
        <v/>
      </c>
      <c r="BI18" s="87" t="str">
        <f t="shared" si="14"/>
        <v/>
      </c>
      <c r="BJ18" s="87" t="str">
        <f t="shared" si="3"/>
        <v/>
      </c>
      <c r="BL18" s="9">
        <v>14</v>
      </c>
      <c r="BM18" s="5" t="str">
        <f t="shared" si="4"/>
        <v>M</v>
      </c>
      <c r="BN18" s="88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K18" s="9">
        <v>14</v>
      </c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</row>
    <row r="19" spans="1:100" ht="23" thickBot="1" x14ac:dyDescent="0.25">
      <c r="A19" s="89">
        <v>15</v>
      </c>
      <c r="B19" s="35" t="s">
        <v>76</v>
      </c>
      <c r="C19" s="35" t="s">
        <v>34</v>
      </c>
      <c r="D19" s="5"/>
      <c r="E19" s="35" t="s">
        <v>37</v>
      </c>
      <c r="F19" s="5"/>
      <c r="G19" s="35" t="s">
        <v>40</v>
      </c>
      <c r="H19" s="5"/>
      <c r="I19" s="35"/>
      <c r="J19" s="5"/>
      <c r="K19" s="35" t="s">
        <v>28</v>
      </c>
      <c r="L19" s="35" t="s">
        <v>39</v>
      </c>
      <c r="M19" s="35"/>
      <c r="N19" s="5"/>
      <c r="O19" s="35"/>
      <c r="P19" s="35" t="s">
        <v>26</v>
      </c>
      <c r="Q19" s="5" t="s">
        <v>36</v>
      </c>
      <c r="R19" s="5" t="s">
        <v>38</v>
      </c>
      <c r="S19" s="5"/>
      <c r="T19" s="5"/>
      <c r="U19" s="5"/>
      <c r="V19" s="95" t="s">
        <v>27</v>
      </c>
      <c r="W19" s="95" t="s">
        <v>25</v>
      </c>
      <c r="X19" s="5"/>
      <c r="Y19" s="5"/>
      <c r="Z19" s="5"/>
      <c r="AA19" s="35" t="s">
        <v>71</v>
      </c>
      <c r="AB19" s="5"/>
      <c r="AC19" s="94" t="s">
        <v>32</v>
      </c>
      <c r="AD19" s="5"/>
      <c r="AE19" s="94" t="s">
        <v>27</v>
      </c>
      <c r="AF19" s="80" t="s">
        <v>92</v>
      </c>
      <c r="AG19" s="5"/>
      <c r="AH19" s="5"/>
      <c r="AI19" s="5"/>
      <c r="AJ19" s="5"/>
      <c r="AK19" s="5"/>
      <c r="AL19" s="5"/>
      <c r="AM19" s="5"/>
      <c r="AN19" s="5"/>
      <c r="AO19" s="5"/>
      <c r="AP19" s="84"/>
      <c r="AQ19" s="84"/>
      <c r="AR19" s="84"/>
      <c r="AS19" s="84"/>
      <c r="AT19" s="84"/>
      <c r="AV19" s="85" t="str">
        <f t="shared" si="5"/>
        <v/>
      </c>
      <c r="AW19" s="86" t="str">
        <f t="shared" si="15"/>
        <v>CUR</v>
      </c>
      <c r="AX19" s="86" t="str">
        <f t="shared" si="0"/>
        <v/>
      </c>
      <c r="AY19" s="86" t="str">
        <f t="shared" si="6"/>
        <v/>
      </c>
      <c r="AZ19" s="86" t="str">
        <f t="shared" si="7"/>
        <v/>
      </c>
      <c r="BA19" s="86" t="str">
        <f t="shared" si="8"/>
        <v/>
      </c>
      <c r="BB19" s="86" t="str">
        <f t="shared" si="9"/>
        <v/>
      </c>
      <c r="BC19" s="86" t="str">
        <f t="shared" si="10"/>
        <v/>
      </c>
      <c r="BD19" s="86" t="str">
        <f t="shared" si="11"/>
        <v/>
      </c>
      <c r="BE19" s="86" t="str">
        <f t="shared" si="1"/>
        <v/>
      </c>
      <c r="BF19" s="86" t="str">
        <f t="shared" si="12"/>
        <v/>
      </c>
      <c r="BG19" s="86" t="str">
        <f t="shared" si="13"/>
        <v/>
      </c>
      <c r="BH19" s="86" t="str">
        <f t="shared" si="2"/>
        <v>RUZ</v>
      </c>
      <c r="BI19" s="87" t="str">
        <f t="shared" si="14"/>
        <v/>
      </c>
      <c r="BJ19" s="87" t="str">
        <f t="shared" si="3"/>
        <v/>
      </c>
      <c r="BL19" s="9">
        <v>15</v>
      </c>
      <c r="BM19" s="5" t="str">
        <f t="shared" si="4"/>
        <v>G</v>
      </c>
      <c r="BN19" s="88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K19" s="9">
        <v>15</v>
      </c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</row>
    <row r="20" spans="1:100" ht="16" thickBot="1" x14ac:dyDescent="0.25">
      <c r="A20" s="89">
        <v>16</v>
      </c>
      <c r="B20" s="35" t="s">
        <v>77</v>
      </c>
      <c r="C20" s="35" t="s">
        <v>40</v>
      </c>
      <c r="D20" s="5" t="s">
        <v>38</v>
      </c>
      <c r="E20" s="35" t="s">
        <v>30</v>
      </c>
      <c r="F20" s="5"/>
      <c r="G20" s="35" t="s">
        <v>34</v>
      </c>
      <c r="H20" s="5"/>
      <c r="I20" s="35"/>
      <c r="J20" s="5"/>
      <c r="K20" s="35" t="s">
        <v>35</v>
      </c>
      <c r="L20" s="35" t="s">
        <v>35</v>
      </c>
      <c r="M20" s="35"/>
      <c r="N20" s="5"/>
      <c r="O20" s="35"/>
      <c r="P20" s="35"/>
      <c r="Q20" s="5" t="s">
        <v>27</v>
      </c>
      <c r="R20" s="5" t="s">
        <v>39</v>
      </c>
      <c r="S20" s="95" t="s">
        <v>37</v>
      </c>
      <c r="T20" s="95" t="s">
        <v>71</v>
      </c>
      <c r="U20" s="5"/>
      <c r="V20" s="5" t="s">
        <v>26</v>
      </c>
      <c r="W20" s="5" t="s">
        <v>32</v>
      </c>
      <c r="X20" s="95" t="s">
        <v>28</v>
      </c>
      <c r="Y20" s="95" t="s">
        <v>71</v>
      </c>
      <c r="Z20" s="5"/>
      <c r="AA20" s="35" t="s">
        <v>41</v>
      </c>
      <c r="AB20" s="5"/>
      <c r="AC20" s="94" t="s">
        <v>26</v>
      </c>
      <c r="AD20" s="5"/>
      <c r="AE20" s="94" t="s">
        <v>37</v>
      </c>
      <c r="AF20" s="80" t="s">
        <v>36</v>
      </c>
      <c r="AG20" s="5" t="s">
        <v>25</v>
      </c>
      <c r="AH20" s="5"/>
      <c r="AI20" s="82"/>
      <c r="AJ20" s="5"/>
      <c r="AK20" s="5"/>
      <c r="AL20" s="5"/>
      <c r="AM20" s="5"/>
      <c r="AN20" s="5"/>
      <c r="AO20" s="5"/>
      <c r="AP20" s="84"/>
      <c r="AQ20" s="84"/>
      <c r="AR20" s="84"/>
      <c r="AS20" s="84"/>
      <c r="AT20" s="84"/>
      <c r="AV20" s="85" t="str">
        <f t="shared" si="5"/>
        <v/>
      </c>
      <c r="AW20" s="86" t="str">
        <f t="shared" si="15"/>
        <v>CUR</v>
      </c>
      <c r="AX20" s="86" t="str">
        <f>IF(COUNTIF(C20:AO20,"BON")=0,"BON","")</f>
        <v/>
      </c>
      <c r="AY20" s="86" t="str">
        <f t="shared" si="6"/>
        <v/>
      </c>
      <c r="AZ20" s="86" t="str">
        <f t="shared" si="7"/>
        <v/>
      </c>
      <c r="BA20" s="86" t="str">
        <f t="shared" si="8"/>
        <v/>
      </c>
      <c r="BB20" s="86" t="str">
        <f t="shared" si="9"/>
        <v/>
      </c>
      <c r="BC20" s="86" t="str">
        <f t="shared" si="10"/>
        <v/>
      </c>
      <c r="BD20" s="86" t="str">
        <f t="shared" si="11"/>
        <v/>
      </c>
      <c r="BE20" s="86" t="str">
        <f t="shared" si="1"/>
        <v/>
      </c>
      <c r="BF20" s="86" t="str">
        <f t="shared" si="12"/>
        <v/>
      </c>
      <c r="BG20" s="86" t="str">
        <f t="shared" si="13"/>
        <v/>
      </c>
      <c r="BH20" s="86" t="str">
        <f t="shared" si="2"/>
        <v/>
      </c>
      <c r="BI20" s="87" t="str">
        <f t="shared" si="14"/>
        <v/>
      </c>
      <c r="BJ20" s="87" t="str">
        <f t="shared" si="3"/>
        <v/>
      </c>
      <c r="BL20" s="10">
        <v>16</v>
      </c>
      <c r="BM20" s="5" t="str">
        <f t="shared" si="4"/>
        <v>V</v>
      </c>
      <c r="BN20" s="88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K20" s="10">
        <v>16</v>
      </c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</row>
    <row r="21" spans="1:100" s="75" customFormat="1" ht="16" thickBot="1" x14ac:dyDescent="0.25">
      <c r="A21" s="71">
        <v>17</v>
      </c>
      <c r="B21" s="72" t="s">
        <v>42</v>
      </c>
      <c r="C21" s="72"/>
      <c r="D21" s="19"/>
      <c r="E21" s="65"/>
      <c r="F21" s="19"/>
      <c r="G21" s="94" t="s">
        <v>28</v>
      </c>
      <c r="H21" s="19"/>
      <c r="I21" s="65"/>
      <c r="J21" s="19"/>
      <c r="K21" s="65"/>
      <c r="L21" s="65"/>
      <c r="M21" s="65"/>
      <c r="N21" s="19"/>
      <c r="O21" s="65"/>
      <c r="P21" s="65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65"/>
      <c r="AB21" s="19"/>
      <c r="AC21" s="94" t="s">
        <v>28</v>
      </c>
      <c r="AD21" s="19"/>
      <c r="AE21" s="65" t="s">
        <v>35</v>
      </c>
      <c r="AF21" s="73" t="s">
        <v>34</v>
      </c>
      <c r="AG21" s="19" t="s">
        <v>25</v>
      </c>
      <c r="AH21" s="19" t="s">
        <v>38</v>
      </c>
      <c r="AI21" s="73"/>
      <c r="AJ21" s="19"/>
      <c r="AK21" s="19"/>
      <c r="AL21" s="19"/>
      <c r="AM21" s="19"/>
      <c r="AN21" s="19"/>
      <c r="AO21" s="19"/>
      <c r="AP21" s="74"/>
      <c r="AQ21" s="74"/>
      <c r="AR21" s="74"/>
      <c r="AS21" s="74"/>
      <c r="AT21" s="74"/>
      <c r="AV21" s="76" t="str">
        <f t="shared" si="5"/>
        <v/>
      </c>
      <c r="AW21" s="77" t="str">
        <f t="shared" si="15"/>
        <v>CUR</v>
      </c>
      <c r="AX21" s="77" t="str">
        <f t="shared" si="0"/>
        <v>BON</v>
      </c>
      <c r="AY21" s="77" t="str">
        <f t="shared" si="6"/>
        <v/>
      </c>
      <c r="AZ21" s="77" t="str">
        <f t="shared" si="7"/>
        <v>DON</v>
      </c>
      <c r="BA21" s="77" t="str">
        <f t="shared" si="8"/>
        <v/>
      </c>
      <c r="BB21" s="77" t="str">
        <f t="shared" si="9"/>
        <v>LAM</v>
      </c>
      <c r="BC21" s="77" t="str">
        <f t="shared" si="10"/>
        <v>MAG</v>
      </c>
      <c r="BD21" s="77" t="str">
        <f t="shared" si="11"/>
        <v/>
      </c>
      <c r="BE21" s="77" t="str">
        <f t="shared" si="1"/>
        <v>SAL</v>
      </c>
      <c r="BF21" s="77" t="str">
        <f t="shared" si="12"/>
        <v>OGG</v>
      </c>
      <c r="BG21" s="77" t="str">
        <f t="shared" si="13"/>
        <v>PAS</v>
      </c>
      <c r="BH21" s="77" t="str">
        <f t="shared" si="2"/>
        <v/>
      </c>
      <c r="BI21" s="78" t="str">
        <f t="shared" si="14"/>
        <v>SES</v>
      </c>
      <c r="BJ21" s="78" t="str">
        <f t="shared" si="3"/>
        <v>LAM</v>
      </c>
      <c r="BL21" s="92">
        <v>17</v>
      </c>
      <c r="BM21" s="19" t="str">
        <f t="shared" si="4"/>
        <v>S</v>
      </c>
      <c r="BN21" s="20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K21" s="92">
        <v>17</v>
      </c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</row>
    <row r="22" spans="1:100" s="75" customFormat="1" ht="16" thickBot="1" x14ac:dyDescent="0.25">
      <c r="A22" s="71">
        <v>18</v>
      </c>
      <c r="B22" s="72" t="s">
        <v>43</v>
      </c>
      <c r="C22" s="72"/>
      <c r="D22" s="19"/>
      <c r="E22" s="65"/>
      <c r="F22" s="19"/>
      <c r="G22" s="94" t="s">
        <v>30</v>
      </c>
      <c r="H22" s="19"/>
      <c r="I22" s="65"/>
      <c r="J22" s="19"/>
      <c r="K22" s="65"/>
      <c r="L22" s="65"/>
      <c r="M22" s="65"/>
      <c r="N22" s="19"/>
      <c r="O22" s="65"/>
      <c r="P22" s="65"/>
      <c r="Q22" s="19"/>
      <c r="R22" s="19"/>
      <c r="S22" s="93"/>
      <c r="T22" s="19"/>
      <c r="U22" s="19"/>
      <c r="V22" s="19"/>
      <c r="W22" s="19"/>
      <c r="X22" s="19"/>
      <c r="Y22" s="19"/>
      <c r="Z22" s="19"/>
      <c r="AA22" s="65"/>
      <c r="AB22" s="19"/>
      <c r="AC22" s="94" t="s">
        <v>35</v>
      </c>
      <c r="AD22" s="19"/>
      <c r="AE22" s="65" t="s">
        <v>28</v>
      </c>
      <c r="AF22" s="73" t="s">
        <v>34</v>
      </c>
      <c r="AG22" s="19" t="s">
        <v>25</v>
      </c>
      <c r="AH22" s="19" t="s">
        <v>38</v>
      </c>
      <c r="AI22" s="19"/>
      <c r="AJ22" s="19"/>
      <c r="AK22" s="19"/>
      <c r="AL22" s="19"/>
      <c r="AM22" s="19"/>
      <c r="AN22" s="19"/>
      <c r="AO22" s="19"/>
      <c r="AP22" s="74"/>
      <c r="AQ22" s="74"/>
      <c r="AR22" s="74"/>
      <c r="AS22" s="74"/>
      <c r="AT22" s="74"/>
      <c r="AV22" s="76" t="str">
        <f t="shared" si="5"/>
        <v/>
      </c>
      <c r="AW22" s="77" t="str">
        <f t="shared" si="15"/>
        <v>CUR</v>
      </c>
      <c r="AX22" s="77" t="str">
        <f t="shared" si="0"/>
        <v>BON</v>
      </c>
      <c r="AY22" s="77" t="str">
        <f t="shared" si="6"/>
        <v/>
      </c>
      <c r="AZ22" s="77" t="str">
        <f t="shared" si="7"/>
        <v>DON</v>
      </c>
      <c r="BA22" s="77" t="str">
        <f t="shared" si="8"/>
        <v/>
      </c>
      <c r="BB22" s="77" t="str">
        <f t="shared" si="9"/>
        <v>LAM</v>
      </c>
      <c r="BC22" s="77" t="str">
        <f t="shared" si="10"/>
        <v>MAG</v>
      </c>
      <c r="BD22" s="77" t="str">
        <f t="shared" si="11"/>
        <v/>
      </c>
      <c r="BE22" s="77" t="str">
        <f t="shared" si="1"/>
        <v>SAL</v>
      </c>
      <c r="BF22" s="77" t="str">
        <f t="shared" si="12"/>
        <v>OGG</v>
      </c>
      <c r="BG22" s="77" t="str">
        <f t="shared" si="13"/>
        <v>PAS</v>
      </c>
      <c r="BH22" s="77" t="str">
        <f t="shared" si="2"/>
        <v/>
      </c>
      <c r="BI22" s="78" t="str">
        <f t="shared" si="14"/>
        <v>SES</v>
      </c>
      <c r="BJ22" s="78" t="str">
        <f t="shared" si="3"/>
        <v>LAM</v>
      </c>
      <c r="BL22" s="79">
        <v>18</v>
      </c>
      <c r="BM22" s="19" t="str">
        <f t="shared" si="4"/>
        <v>D</v>
      </c>
      <c r="BN22" s="20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K22" s="79">
        <v>18</v>
      </c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</row>
    <row r="23" spans="1:100" ht="16" thickBot="1" x14ac:dyDescent="0.25">
      <c r="A23" s="89">
        <v>19</v>
      </c>
      <c r="B23" s="35" t="s">
        <v>74</v>
      </c>
      <c r="C23" s="35" t="s">
        <v>39</v>
      </c>
      <c r="D23" s="83"/>
      <c r="E23" s="35" t="s">
        <v>32</v>
      </c>
      <c r="F23" s="5"/>
      <c r="G23" s="35" t="s">
        <v>27</v>
      </c>
      <c r="H23" s="5"/>
      <c r="I23" s="35"/>
      <c r="J23" s="5"/>
      <c r="K23" s="35" t="s">
        <v>71</v>
      </c>
      <c r="L23" s="35" t="s">
        <v>71</v>
      </c>
      <c r="M23" s="35"/>
      <c r="N23" s="5"/>
      <c r="O23" s="35"/>
      <c r="P23" s="35"/>
      <c r="Q23" s="95" t="s">
        <v>35</v>
      </c>
      <c r="R23" s="5" t="s">
        <v>40</v>
      </c>
      <c r="S23" s="83" t="s">
        <v>36</v>
      </c>
      <c r="T23" s="5" t="s">
        <v>25</v>
      </c>
      <c r="U23" s="5"/>
      <c r="V23" s="5" t="s">
        <v>28</v>
      </c>
      <c r="W23" s="95" t="s">
        <v>26</v>
      </c>
      <c r="X23" s="5"/>
      <c r="Y23" s="5"/>
      <c r="Z23" s="5"/>
      <c r="AA23" s="35" t="s">
        <v>30</v>
      </c>
      <c r="AB23" s="5"/>
      <c r="AC23" s="94" t="s">
        <v>28</v>
      </c>
      <c r="AD23" s="5"/>
      <c r="AE23" s="94" t="s">
        <v>35</v>
      </c>
      <c r="AF23" s="80" t="s">
        <v>37</v>
      </c>
      <c r="AG23" s="5" t="s">
        <v>34</v>
      </c>
      <c r="AH23" s="5" t="s">
        <v>38</v>
      </c>
      <c r="AI23" s="5"/>
      <c r="AJ23" s="5"/>
      <c r="AK23" s="5"/>
      <c r="AL23" s="5"/>
      <c r="AM23" s="5"/>
      <c r="AN23" s="5"/>
      <c r="AO23" s="5"/>
      <c r="AP23" s="84"/>
      <c r="AQ23" s="84"/>
      <c r="AR23" s="84"/>
      <c r="AS23" s="84"/>
      <c r="AT23" s="84"/>
      <c r="AV23" s="85" t="str">
        <f t="shared" si="5"/>
        <v/>
      </c>
      <c r="AW23" s="86" t="str">
        <f t="shared" si="15"/>
        <v>CUR</v>
      </c>
      <c r="AX23" s="86" t="str">
        <f t="shared" si="0"/>
        <v/>
      </c>
      <c r="AY23" s="86" t="str">
        <f t="shared" si="6"/>
        <v/>
      </c>
      <c r="AZ23" s="86" t="str">
        <f t="shared" si="7"/>
        <v/>
      </c>
      <c r="BA23" s="86" t="str">
        <f t="shared" si="8"/>
        <v/>
      </c>
      <c r="BB23" s="86" t="str">
        <f t="shared" si="9"/>
        <v/>
      </c>
      <c r="BC23" s="86" t="str">
        <f t="shared" si="10"/>
        <v/>
      </c>
      <c r="BD23" s="86" t="str">
        <f t="shared" si="11"/>
        <v/>
      </c>
      <c r="BE23" s="86" t="str">
        <f t="shared" si="1"/>
        <v/>
      </c>
      <c r="BF23" s="86" t="str">
        <f t="shared" si="12"/>
        <v/>
      </c>
      <c r="BG23" s="86" t="str">
        <f t="shared" si="13"/>
        <v/>
      </c>
      <c r="BH23" s="86" t="str">
        <f t="shared" si="2"/>
        <v/>
      </c>
      <c r="BI23" s="87" t="str">
        <f t="shared" si="14"/>
        <v/>
      </c>
      <c r="BJ23" s="87" t="str">
        <f t="shared" si="3"/>
        <v/>
      </c>
      <c r="BL23" s="9">
        <v>19</v>
      </c>
      <c r="BM23" s="5" t="str">
        <f t="shared" si="4"/>
        <v>L</v>
      </c>
      <c r="BN23" s="88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K23" s="9">
        <v>19</v>
      </c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</row>
    <row r="24" spans="1:100" ht="16" thickBot="1" x14ac:dyDescent="0.25">
      <c r="A24" s="89">
        <v>20</v>
      </c>
      <c r="B24" s="35" t="s">
        <v>78</v>
      </c>
      <c r="C24" s="35" t="s">
        <v>40</v>
      </c>
      <c r="D24" s="5" t="s">
        <v>34</v>
      </c>
      <c r="E24" s="35" t="s">
        <v>28</v>
      </c>
      <c r="F24" s="5"/>
      <c r="G24" s="35" t="s">
        <v>32</v>
      </c>
      <c r="H24" s="5"/>
      <c r="I24" s="35"/>
      <c r="J24" s="5"/>
      <c r="K24" s="94" t="s">
        <v>39</v>
      </c>
      <c r="L24" s="94" t="s">
        <v>39</v>
      </c>
      <c r="M24" s="35"/>
      <c r="N24" s="5"/>
      <c r="O24" s="35"/>
      <c r="P24" s="35"/>
      <c r="Q24" s="82" t="s">
        <v>29</v>
      </c>
      <c r="R24" s="5" t="s">
        <v>30</v>
      </c>
      <c r="S24" s="5" t="s">
        <v>36</v>
      </c>
      <c r="T24" s="5" t="s">
        <v>25</v>
      </c>
      <c r="U24" s="5"/>
      <c r="V24" s="95" t="s">
        <v>27</v>
      </c>
      <c r="W24" s="95" t="s">
        <v>71</v>
      </c>
      <c r="X24" s="5"/>
      <c r="Y24" s="5"/>
      <c r="Z24" s="5"/>
      <c r="AA24" s="35" t="s">
        <v>26</v>
      </c>
      <c r="AB24" s="5"/>
      <c r="AC24" s="94" t="s">
        <v>71</v>
      </c>
      <c r="AD24" s="5"/>
      <c r="AE24" s="94" t="s">
        <v>27</v>
      </c>
      <c r="AF24" s="80" t="s">
        <v>35</v>
      </c>
      <c r="AG24" s="5" t="s">
        <v>37</v>
      </c>
      <c r="AH24" s="5" t="s">
        <v>33</v>
      </c>
      <c r="AI24" s="5" t="s">
        <v>38</v>
      </c>
      <c r="AJ24" s="5"/>
      <c r="AK24" s="5"/>
      <c r="AL24" s="5"/>
      <c r="AM24" s="5"/>
      <c r="AN24" s="5"/>
      <c r="AO24" s="5"/>
      <c r="AP24" s="84"/>
      <c r="AQ24" s="84"/>
      <c r="AR24" s="84"/>
      <c r="AS24" s="84"/>
      <c r="AT24" s="84"/>
      <c r="AV24" s="85" t="str">
        <f t="shared" si="5"/>
        <v/>
      </c>
      <c r="AW24" s="86" t="str">
        <f t="shared" si="15"/>
        <v/>
      </c>
      <c r="AX24" s="86" t="str">
        <f t="shared" si="0"/>
        <v/>
      </c>
      <c r="AY24" s="86" t="str">
        <f t="shared" si="6"/>
        <v/>
      </c>
      <c r="AZ24" s="86" t="str">
        <f t="shared" si="7"/>
        <v/>
      </c>
      <c r="BA24" s="86" t="str">
        <f t="shared" si="8"/>
        <v/>
      </c>
      <c r="BB24" s="86" t="str">
        <f t="shared" si="9"/>
        <v/>
      </c>
      <c r="BC24" s="86" t="str">
        <f t="shared" si="10"/>
        <v/>
      </c>
      <c r="BD24" s="86" t="str">
        <f t="shared" si="11"/>
        <v/>
      </c>
      <c r="BE24" s="86" t="str">
        <f t="shared" si="1"/>
        <v/>
      </c>
      <c r="BF24" s="86" t="str">
        <f t="shared" si="12"/>
        <v/>
      </c>
      <c r="BG24" s="86" t="str">
        <f t="shared" si="13"/>
        <v/>
      </c>
      <c r="BH24" s="86" t="str">
        <f>IF(COUNTIF(C24:AO24,"RUZ")=0,"RUZ","")</f>
        <v/>
      </c>
      <c r="BI24" s="87" t="str">
        <f t="shared" si="14"/>
        <v/>
      </c>
      <c r="BJ24" s="87" t="str">
        <f t="shared" si="3"/>
        <v/>
      </c>
      <c r="BL24" s="9">
        <v>20</v>
      </c>
      <c r="BM24" s="5" t="str">
        <f t="shared" si="4"/>
        <v>MA</v>
      </c>
      <c r="BN24" s="88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K24" s="9">
        <v>20</v>
      </c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</row>
    <row r="25" spans="1:100" ht="16" thickBot="1" x14ac:dyDescent="0.25">
      <c r="A25" s="89">
        <v>21</v>
      </c>
      <c r="B25" s="35" t="s">
        <v>75</v>
      </c>
      <c r="C25" s="35" t="s">
        <v>36</v>
      </c>
      <c r="D25" s="5"/>
      <c r="E25" s="35" t="s">
        <v>39</v>
      </c>
      <c r="F25" s="5"/>
      <c r="G25" s="35" t="s">
        <v>35</v>
      </c>
      <c r="H25" s="5"/>
      <c r="I25" s="35"/>
      <c r="J25" s="5"/>
      <c r="K25" s="94" t="s">
        <v>32</v>
      </c>
      <c r="L25" s="94" t="s">
        <v>32</v>
      </c>
      <c r="M25" s="35"/>
      <c r="N25" s="5"/>
      <c r="O25" s="35"/>
      <c r="P25" s="35"/>
      <c r="Q25" s="5" t="s">
        <v>29</v>
      </c>
      <c r="R25" s="5" t="s">
        <v>30</v>
      </c>
      <c r="S25" s="5" t="s">
        <v>26</v>
      </c>
      <c r="T25" s="5" t="s">
        <v>27</v>
      </c>
      <c r="U25" s="5"/>
      <c r="V25" s="95" t="s">
        <v>40</v>
      </c>
      <c r="W25" s="95" t="s">
        <v>34</v>
      </c>
      <c r="X25" s="5" t="s">
        <v>41</v>
      </c>
      <c r="Y25" s="5" t="s">
        <v>25</v>
      </c>
      <c r="Z25" s="5"/>
      <c r="AA25" s="35" t="s">
        <v>28</v>
      </c>
      <c r="AB25" s="5"/>
      <c r="AC25" s="94" t="s">
        <v>34</v>
      </c>
      <c r="AD25" s="5"/>
      <c r="AE25" s="94" t="s">
        <v>40</v>
      </c>
      <c r="AF25" s="80" t="s">
        <v>37</v>
      </c>
      <c r="AG25" s="5" t="s">
        <v>33</v>
      </c>
      <c r="AH25" s="5" t="s">
        <v>38</v>
      </c>
      <c r="AI25" s="5" t="s">
        <v>71</v>
      </c>
      <c r="AJ25" s="5"/>
      <c r="AK25" s="5"/>
      <c r="AL25" s="5"/>
      <c r="AM25" s="5"/>
      <c r="AN25" s="5"/>
      <c r="AO25" s="5"/>
      <c r="AP25" s="84"/>
      <c r="AQ25" s="84"/>
      <c r="AR25" s="84"/>
      <c r="AS25" s="84"/>
      <c r="AT25" s="84"/>
      <c r="AV25" s="85" t="str">
        <f t="shared" si="5"/>
        <v/>
      </c>
      <c r="AW25" s="86" t="str">
        <f t="shared" si="15"/>
        <v/>
      </c>
      <c r="AX25" s="86" t="str">
        <f t="shared" si="0"/>
        <v/>
      </c>
      <c r="AY25" s="86" t="str">
        <f t="shared" si="6"/>
        <v/>
      </c>
      <c r="AZ25" s="86" t="str">
        <f t="shared" si="7"/>
        <v/>
      </c>
      <c r="BA25" s="86" t="str">
        <f t="shared" si="8"/>
        <v/>
      </c>
      <c r="BB25" s="86" t="str">
        <f t="shared" si="9"/>
        <v/>
      </c>
      <c r="BC25" s="86" t="str">
        <f t="shared" si="10"/>
        <v/>
      </c>
      <c r="BD25" s="86" t="str">
        <f t="shared" si="11"/>
        <v/>
      </c>
      <c r="BE25" s="86" t="str">
        <f t="shared" si="1"/>
        <v/>
      </c>
      <c r="BF25" s="86" t="str">
        <f t="shared" si="12"/>
        <v/>
      </c>
      <c r="BG25" s="86" t="str">
        <f t="shared" si="13"/>
        <v/>
      </c>
      <c r="BH25" s="86" t="str">
        <f t="shared" si="2"/>
        <v/>
      </c>
      <c r="BI25" s="87" t="str">
        <f t="shared" si="14"/>
        <v/>
      </c>
      <c r="BJ25" s="87" t="str">
        <f t="shared" si="3"/>
        <v/>
      </c>
      <c r="BL25" s="9">
        <v>21</v>
      </c>
      <c r="BM25" s="5" t="str">
        <f t="shared" si="4"/>
        <v>M</v>
      </c>
      <c r="BN25" s="88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K25" s="9">
        <v>21</v>
      </c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</row>
    <row r="26" spans="1:100" ht="23" thickBot="1" x14ac:dyDescent="0.25">
      <c r="A26" s="89">
        <v>22</v>
      </c>
      <c r="B26" s="35" t="s">
        <v>76</v>
      </c>
      <c r="C26" s="35" t="s">
        <v>27</v>
      </c>
      <c r="D26" s="5"/>
      <c r="E26" s="35" t="s">
        <v>30</v>
      </c>
      <c r="F26" s="5"/>
      <c r="G26" s="35" t="s">
        <v>40</v>
      </c>
      <c r="H26" s="5"/>
      <c r="I26" s="35"/>
      <c r="J26" s="5"/>
      <c r="K26" s="94" t="s">
        <v>39</v>
      </c>
      <c r="L26" s="94" t="s">
        <v>39</v>
      </c>
      <c r="M26" s="35" t="s">
        <v>28</v>
      </c>
      <c r="N26" s="5" t="s">
        <v>41</v>
      </c>
      <c r="O26" s="35"/>
      <c r="P26" s="35" t="s">
        <v>34</v>
      </c>
      <c r="Q26" s="5" t="s">
        <v>36</v>
      </c>
      <c r="R26" s="5" t="s">
        <v>25</v>
      </c>
      <c r="S26" s="5"/>
      <c r="T26" s="5"/>
      <c r="U26" s="5"/>
      <c r="V26" s="95" t="s">
        <v>35</v>
      </c>
      <c r="W26" s="95" t="s">
        <v>32</v>
      </c>
      <c r="X26" s="5"/>
      <c r="Y26" s="5"/>
      <c r="Z26" s="5"/>
      <c r="AA26" s="35" t="s">
        <v>71</v>
      </c>
      <c r="AB26" s="5"/>
      <c r="AC26" s="94" t="s">
        <v>35</v>
      </c>
      <c r="AD26" s="5"/>
      <c r="AE26" s="94" t="s">
        <v>32</v>
      </c>
      <c r="AF26" s="80" t="s">
        <v>37</v>
      </c>
      <c r="AG26" s="5" t="s">
        <v>33</v>
      </c>
      <c r="AH26" s="5" t="s">
        <v>38</v>
      </c>
      <c r="AI26" s="5" t="s">
        <v>94</v>
      </c>
      <c r="AJ26" s="5"/>
      <c r="AK26" s="5"/>
      <c r="AL26" s="5"/>
      <c r="AM26" s="5"/>
      <c r="AN26" s="5"/>
      <c r="AO26" s="5"/>
      <c r="AP26" s="84"/>
      <c r="AQ26" s="84"/>
      <c r="AR26" s="84"/>
      <c r="AS26" s="84"/>
      <c r="AT26" s="84"/>
      <c r="AV26" s="85" t="str">
        <f t="shared" si="5"/>
        <v/>
      </c>
      <c r="AW26" s="86" t="str">
        <f t="shared" si="15"/>
        <v/>
      </c>
      <c r="AX26" s="86" t="str">
        <f t="shared" si="0"/>
        <v/>
      </c>
      <c r="AY26" s="86" t="str">
        <f t="shared" si="6"/>
        <v/>
      </c>
      <c r="AZ26" s="86" t="str">
        <f t="shared" si="7"/>
        <v/>
      </c>
      <c r="BA26" s="86" t="str">
        <f t="shared" si="8"/>
        <v/>
      </c>
      <c r="BB26" s="86" t="str">
        <f t="shared" si="9"/>
        <v/>
      </c>
      <c r="BC26" s="86" t="str">
        <f t="shared" si="10"/>
        <v/>
      </c>
      <c r="BD26" s="86" t="str">
        <f t="shared" si="11"/>
        <v/>
      </c>
      <c r="BE26" s="86" t="str">
        <f t="shared" si="1"/>
        <v/>
      </c>
      <c r="BF26" s="86" t="str">
        <f t="shared" si="12"/>
        <v/>
      </c>
      <c r="BG26" s="86" t="str">
        <f t="shared" si="13"/>
        <v>PAS</v>
      </c>
      <c r="BH26" s="86" t="str">
        <f t="shared" si="2"/>
        <v/>
      </c>
      <c r="BI26" s="87" t="str">
        <f t="shared" si="14"/>
        <v/>
      </c>
      <c r="BJ26" s="87" t="str">
        <f t="shared" si="3"/>
        <v/>
      </c>
      <c r="BL26" s="9">
        <v>22</v>
      </c>
      <c r="BM26" s="5" t="str">
        <f t="shared" si="4"/>
        <v>G</v>
      </c>
      <c r="BN26" s="88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K26" s="9">
        <v>22</v>
      </c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</row>
    <row r="27" spans="1:100" ht="16" thickBot="1" x14ac:dyDescent="0.25">
      <c r="A27" s="89">
        <v>23</v>
      </c>
      <c r="B27" s="35" t="s">
        <v>77</v>
      </c>
      <c r="C27" s="35" t="s">
        <v>40</v>
      </c>
      <c r="D27" s="5" t="s">
        <v>32</v>
      </c>
      <c r="E27" s="35" t="s">
        <v>30</v>
      </c>
      <c r="F27" s="5"/>
      <c r="G27" s="35" t="s">
        <v>39</v>
      </c>
      <c r="H27" s="5"/>
      <c r="I27" s="35"/>
      <c r="J27" s="5"/>
      <c r="K27" s="94" t="s">
        <v>28</v>
      </c>
      <c r="L27" s="94" t="s">
        <v>28</v>
      </c>
      <c r="M27" s="35"/>
      <c r="N27" s="5"/>
      <c r="O27" s="35"/>
      <c r="P27" s="35"/>
      <c r="Q27" s="95" t="s">
        <v>35</v>
      </c>
      <c r="R27" s="95" t="s">
        <v>71</v>
      </c>
      <c r="S27" s="5" t="s">
        <v>27</v>
      </c>
      <c r="T27" s="5" t="s">
        <v>34</v>
      </c>
      <c r="U27" s="5"/>
      <c r="V27" s="95" t="s">
        <v>35</v>
      </c>
      <c r="W27" s="95" t="s">
        <v>71</v>
      </c>
      <c r="X27" s="95" t="s">
        <v>26</v>
      </c>
      <c r="Y27" s="95" t="s">
        <v>25</v>
      </c>
      <c r="Z27" s="5"/>
      <c r="AA27" s="35" t="s">
        <v>41</v>
      </c>
      <c r="AB27" s="5"/>
      <c r="AC27" s="94" t="s">
        <v>25</v>
      </c>
      <c r="AD27" s="5"/>
      <c r="AE27" s="94" t="s">
        <v>26</v>
      </c>
      <c r="AF27" s="80" t="s">
        <v>36</v>
      </c>
      <c r="AG27" s="5" t="s">
        <v>37</v>
      </c>
      <c r="AH27" s="5" t="s">
        <v>33</v>
      </c>
      <c r="AI27" s="5" t="s">
        <v>38</v>
      </c>
      <c r="AJ27" s="5"/>
      <c r="AK27" s="5"/>
      <c r="AL27" s="5"/>
      <c r="AM27" s="5"/>
      <c r="AN27" s="5"/>
      <c r="AO27" s="5"/>
      <c r="AP27" s="84"/>
      <c r="AQ27" s="84"/>
      <c r="AR27" s="84"/>
      <c r="AS27" s="84"/>
      <c r="AT27" s="84"/>
      <c r="AV27" s="85" t="str">
        <f t="shared" si="5"/>
        <v/>
      </c>
      <c r="AW27" s="86" t="str">
        <f t="shared" si="15"/>
        <v/>
      </c>
      <c r="AX27" s="86" t="str">
        <f t="shared" si="0"/>
        <v/>
      </c>
      <c r="AY27" s="86" t="str">
        <f t="shared" si="6"/>
        <v/>
      </c>
      <c r="AZ27" s="86" t="str">
        <f t="shared" si="7"/>
        <v/>
      </c>
      <c r="BA27" s="86" t="str">
        <f t="shared" si="8"/>
        <v/>
      </c>
      <c r="BB27" s="86" t="str">
        <f t="shared" si="9"/>
        <v/>
      </c>
      <c r="BC27" s="86" t="str">
        <f t="shared" si="10"/>
        <v/>
      </c>
      <c r="BD27" s="86" t="str">
        <f t="shared" si="11"/>
        <v/>
      </c>
      <c r="BE27" s="86" t="str">
        <f t="shared" si="1"/>
        <v/>
      </c>
      <c r="BF27" s="86" t="str">
        <f t="shared" si="12"/>
        <v/>
      </c>
      <c r="BG27" s="86" t="str">
        <f t="shared" si="13"/>
        <v/>
      </c>
      <c r="BH27" s="86" t="str">
        <f t="shared" si="2"/>
        <v/>
      </c>
      <c r="BI27" s="87" t="str">
        <f t="shared" si="14"/>
        <v/>
      </c>
      <c r="BJ27" s="87" t="str">
        <f t="shared" si="3"/>
        <v/>
      </c>
      <c r="BL27" s="10">
        <v>23</v>
      </c>
      <c r="BM27" s="5" t="str">
        <f t="shared" si="4"/>
        <v>V</v>
      </c>
      <c r="BN27" s="88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K27" s="10">
        <v>23</v>
      </c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</row>
    <row r="28" spans="1:100" s="75" customFormat="1" ht="16" thickBot="1" x14ac:dyDescent="0.25">
      <c r="A28" s="71">
        <v>24</v>
      </c>
      <c r="B28" s="72" t="s">
        <v>42</v>
      </c>
      <c r="C28" s="72"/>
      <c r="D28" s="19"/>
      <c r="E28" s="65"/>
      <c r="F28" s="19"/>
      <c r="G28" s="94" t="s">
        <v>40</v>
      </c>
      <c r="H28" s="19"/>
      <c r="I28" s="65"/>
      <c r="J28" s="19"/>
      <c r="K28" s="65"/>
      <c r="L28" s="65"/>
      <c r="M28" s="65"/>
      <c r="N28" s="19"/>
      <c r="O28" s="65"/>
      <c r="P28" s="65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65"/>
      <c r="AB28" s="19"/>
      <c r="AC28" s="94" t="s">
        <v>40</v>
      </c>
      <c r="AD28" s="19"/>
      <c r="AE28" s="65" t="s">
        <v>25</v>
      </c>
      <c r="AF28" s="73" t="s">
        <v>28</v>
      </c>
      <c r="AG28" s="19" t="s">
        <v>37</v>
      </c>
      <c r="AH28" s="19" t="s">
        <v>26</v>
      </c>
      <c r="AI28" s="19" t="s">
        <v>38</v>
      </c>
      <c r="AJ28" s="19"/>
      <c r="AK28" s="19"/>
      <c r="AL28" s="19"/>
      <c r="AM28" s="19"/>
      <c r="AN28" s="19"/>
      <c r="AO28" s="19"/>
      <c r="AP28" s="74" t="s">
        <v>32</v>
      </c>
      <c r="AQ28" s="74" t="s">
        <v>41</v>
      </c>
      <c r="AR28" s="74"/>
      <c r="AS28" s="74"/>
      <c r="AT28" s="74"/>
      <c r="AV28" s="76" t="str">
        <f t="shared" si="5"/>
        <v>BUR</v>
      </c>
      <c r="AW28" s="77" t="str">
        <f t="shared" si="15"/>
        <v>CUR</v>
      </c>
      <c r="AX28" s="77" t="str">
        <f t="shared" si="0"/>
        <v>BON</v>
      </c>
      <c r="AY28" s="77" t="str">
        <f t="shared" si="6"/>
        <v/>
      </c>
      <c r="AZ28" s="77" t="str">
        <f t="shared" si="7"/>
        <v>DON</v>
      </c>
      <c r="BA28" s="77" t="str">
        <f t="shared" si="8"/>
        <v/>
      </c>
      <c r="BB28" s="77" t="str">
        <f t="shared" si="9"/>
        <v>LAM</v>
      </c>
      <c r="BC28" s="77" t="str">
        <f t="shared" si="10"/>
        <v/>
      </c>
      <c r="BD28" s="77" t="str">
        <f t="shared" si="11"/>
        <v/>
      </c>
      <c r="BE28" s="77" t="str">
        <f t="shared" si="1"/>
        <v>SAL</v>
      </c>
      <c r="BF28" s="77" t="str">
        <f t="shared" si="12"/>
        <v>OGG</v>
      </c>
      <c r="BG28" s="77" t="str">
        <f t="shared" si="13"/>
        <v/>
      </c>
      <c r="BH28" s="77" t="str">
        <f t="shared" si="2"/>
        <v>RUZ</v>
      </c>
      <c r="BI28" s="78" t="str">
        <f t="shared" si="14"/>
        <v/>
      </c>
      <c r="BJ28" s="78" t="str">
        <f t="shared" si="3"/>
        <v>LAM</v>
      </c>
      <c r="BL28" s="92">
        <v>24</v>
      </c>
      <c r="BM28" s="19" t="str">
        <f t="shared" si="4"/>
        <v>S</v>
      </c>
      <c r="BN28" s="20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K28" s="92">
        <v>24</v>
      </c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</row>
    <row r="29" spans="1:100" s="75" customFormat="1" ht="16" thickBot="1" x14ac:dyDescent="0.25">
      <c r="A29" s="71">
        <v>25</v>
      </c>
      <c r="B29" s="72" t="s">
        <v>43</v>
      </c>
      <c r="C29" s="72"/>
      <c r="D29" s="19"/>
      <c r="E29" s="65"/>
      <c r="F29" s="19"/>
      <c r="G29" s="94" t="s">
        <v>25</v>
      </c>
      <c r="H29" s="19"/>
      <c r="I29" s="65"/>
      <c r="J29" s="19"/>
      <c r="K29" s="65"/>
      <c r="L29" s="65"/>
      <c r="M29" s="65"/>
      <c r="N29" s="19"/>
      <c r="O29" s="65"/>
      <c r="P29" s="65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65"/>
      <c r="AB29" s="19"/>
      <c r="AC29" s="94" t="s">
        <v>25</v>
      </c>
      <c r="AD29" s="19"/>
      <c r="AE29" s="65" t="s">
        <v>40</v>
      </c>
      <c r="AF29" s="73" t="s">
        <v>28</v>
      </c>
      <c r="AG29" s="19" t="s">
        <v>37</v>
      </c>
      <c r="AH29" s="19" t="s">
        <v>26</v>
      </c>
      <c r="AI29" s="19" t="s">
        <v>38</v>
      </c>
      <c r="AJ29" s="19"/>
      <c r="AK29" s="19"/>
      <c r="AL29" s="19"/>
      <c r="AM29" s="19"/>
      <c r="AN29" s="19"/>
      <c r="AO29" s="19"/>
      <c r="AP29" s="74"/>
      <c r="AQ29" s="74"/>
      <c r="AR29" s="74"/>
      <c r="AS29" s="74"/>
      <c r="AT29" s="74"/>
      <c r="AV29" s="76" t="str">
        <f t="shared" si="5"/>
        <v>BUR</v>
      </c>
      <c r="AW29" s="77" t="str">
        <f t="shared" si="15"/>
        <v>CUR</v>
      </c>
      <c r="AX29" s="77" t="str">
        <f t="shared" si="0"/>
        <v>BON</v>
      </c>
      <c r="AY29" s="77" t="str">
        <f t="shared" si="6"/>
        <v/>
      </c>
      <c r="AZ29" s="77" t="str">
        <f t="shared" si="7"/>
        <v>DON</v>
      </c>
      <c r="BA29" s="77" t="str">
        <f t="shared" si="8"/>
        <v/>
      </c>
      <c r="BB29" s="77" t="str">
        <f t="shared" si="9"/>
        <v>LAM</v>
      </c>
      <c r="BC29" s="77" t="str">
        <f t="shared" si="10"/>
        <v/>
      </c>
      <c r="BD29" s="77" t="str">
        <f t="shared" si="11"/>
        <v/>
      </c>
      <c r="BE29" s="77" t="str">
        <f t="shared" si="1"/>
        <v>SAL</v>
      </c>
      <c r="BF29" s="77" t="str">
        <f t="shared" si="12"/>
        <v>OGG</v>
      </c>
      <c r="BG29" s="77" t="str">
        <f t="shared" si="13"/>
        <v/>
      </c>
      <c r="BH29" s="77" t="str">
        <f t="shared" si="2"/>
        <v>RUZ</v>
      </c>
      <c r="BI29" s="78" t="str">
        <f t="shared" si="14"/>
        <v/>
      </c>
      <c r="BJ29" s="78" t="str">
        <f t="shared" si="3"/>
        <v>LAM</v>
      </c>
      <c r="BL29" s="92">
        <v>25</v>
      </c>
      <c r="BM29" s="19" t="str">
        <f t="shared" si="4"/>
        <v>D</v>
      </c>
      <c r="BN29" s="20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K29" s="92">
        <v>25</v>
      </c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</row>
    <row r="30" spans="1:100" ht="23" thickBot="1" x14ac:dyDescent="0.25">
      <c r="A30" s="89">
        <v>26</v>
      </c>
      <c r="B30" s="35" t="s">
        <v>74</v>
      </c>
      <c r="C30" s="35" t="s">
        <v>83</v>
      </c>
      <c r="D30" s="5"/>
      <c r="E30" s="35" t="s">
        <v>35</v>
      </c>
      <c r="F30" s="5"/>
      <c r="G30" s="35" t="s">
        <v>36</v>
      </c>
      <c r="H30" s="5"/>
      <c r="I30" s="35" t="s">
        <v>41</v>
      </c>
      <c r="J30" s="5" t="s">
        <v>79</v>
      </c>
      <c r="K30" s="94" t="s">
        <v>25</v>
      </c>
      <c r="L30" s="94" t="s">
        <v>25</v>
      </c>
      <c r="M30" s="35"/>
      <c r="N30" s="5"/>
      <c r="O30" s="35"/>
      <c r="P30" s="35"/>
      <c r="Q30" s="5" t="s">
        <v>40</v>
      </c>
      <c r="R30" s="5" t="s">
        <v>38</v>
      </c>
      <c r="S30" s="5" t="s">
        <v>34</v>
      </c>
      <c r="T30" s="5" t="s">
        <v>39</v>
      </c>
      <c r="U30" s="5"/>
      <c r="V30" s="95" t="s">
        <v>27</v>
      </c>
      <c r="W30" s="95" t="s">
        <v>32</v>
      </c>
      <c r="X30" s="5"/>
      <c r="Y30" s="5"/>
      <c r="Z30" s="5"/>
      <c r="AA30" s="35" t="s">
        <v>71</v>
      </c>
      <c r="AB30" s="5"/>
      <c r="AC30" s="94" t="s">
        <v>32</v>
      </c>
      <c r="AD30" s="5"/>
      <c r="AE30" s="94" t="s">
        <v>27</v>
      </c>
      <c r="AF30" s="80" t="s">
        <v>28</v>
      </c>
      <c r="AG30" s="5" t="s">
        <v>26</v>
      </c>
      <c r="AH30" s="5" t="s">
        <v>33</v>
      </c>
      <c r="AI30" s="5" t="s">
        <v>95</v>
      </c>
      <c r="AJ30" s="5"/>
      <c r="AK30" s="5"/>
      <c r="AL30" s="5"/>
      <c r="AM30" s="5"/>
      <c r="AN30" s="5"/>
      <c r="AO30" s="5"/>
      <c r="AP30" s="84"/>
      <c r="AQ30" s="84"/>
      <c r="AR30" s="84"/>
      <c r="AS30" s="84"/>
      <c r="AT30" s="84"/>
      <c r="AV30" s="85" t="str">
        <f t="shared" si="5"/>
        <v/>
      </c>
      <c r="AW30" s="86" t="str">
        <f t="shared" si="15"/>
        <v/>
      </c>
      <c r="AX30" s="86" t="str">
        <f>IF(COUNTIF(C30:AO30,"BON")=0,"BON","")</f>
        <v/>
      </c>
      <c r="AY30" s="86" t="str">
        <f t="shared" si="6"/>
        <v/>
      </c>
      <c r="AZ30" s="86" t="str">
        <f t="shared" si="7"/>
        <v/>
      </c>
      <c r="BA30" s="86" t="str">
        <f t="shared" si="8"/>
        <v/>
      </c>
      <c r="BB30" s="86" t="str">
        <f t="shared" si="9"/>
        <v/>
      </c>
      <c r="BC30" s="86" t="str">
        <f t="shared" si="10"/>
        <v/>
      </c>
      <c r="BD30" s="86" t="str">
        <f t="shared" si="11"/>
        <v/>
      </c>
      <c r="BE30" s="86" t="str">
        <f t="shared" si="1"/>
        <v/>
      </c>
      <c r="BF30" s="86" t="str">
        <f t="shared" si="12"/>
        <v/>
      </c>
      <c r="BG30" s="86" t="str">
        <f t="shared" si="13"/>
        <v/>
      </c>
      <c r="BH30" s="86" t="str">
        <f t="shared" si="2"/>
        <v/>
      </c>
      <c r="BI30" s="87" t="str">
        <f t="shared" si="14"/>
        <v>SES</v>
      </c>
      <c r="BJ30" s="87" t="str">
        <f t="shared" si="3"/>
        <v/>
      </c>
      <c r="BL30" s="10">
        <v>26</v>
      </c>
      <c r="BM30" s="5" t="str">
        <f t="shared" si="4"/>
        <v>L</v>
      </c>
      <c r="BN30" s="88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K30" s="10">
        <v>26</v>
      </c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</row>
    <row r="31" spans="1:100" ht="16" thickBot="1" x14ac:dyDescent="0.25">
      <c r="A31" s="89">
        <v>27</v>
      </c>
      <c r="B31" s="35" t="s">
        <v>78</v>
      </c>
      <c r="C31" s="35" t="s">
        <v>39</v>
      </c>
      <c r="D31" s="5" t="s">
        <v>32</v>
      </c>
      <c r="E31" s="35" t="s">
        <v>27</v>
      </c>
      <c r="F31" s="5"/>
      <c r="G31" s="35" t="s">
        <v>71</v>
      </c>
      <c r="H31" s="5"/>
      <c r="I31" s="35"/>
      <c r="J31" s="5"/>
      <c r="K31" s="35" t="s">
        <v>40</v>
      </c>
      <c r="L31" s="94" t="s">
        <v>37</v>
      </c>
      <c r="M31" s="35"/>
      <c r="N31" s="5"/>
      <c r="O31" s="94" t="s">
        <v>37</v>
      </c>
      <c r="P31" s="35"/>
      <c r="Q31" s="5" t="s">
        <v>29</v>
      </c>
      <c r="R31" s="5" t="s">
        <v>30</v>
      </c>
      <c r="S31" s="5" t="s">
        <v>36</v>
      </c>
      <c r="T31" s="5" t="s">
        <v>25</v>
      </c>
      <c r="U31" s="5"/>
      <c r="V31" s="95" t="s">
        <v>34</v>
      </c>
      <c r="W31" s="95" t="s">
        <v>38</v>
      </c>
      <c r="X31" s="5"/>
      <c r="Y31" s="5"/>
      <c r="Z31" s="5"/>
      <c r="AA31" s="35" t="s">
        <v>35</v>
      </c>
      <c r="AB31" s="5"/>
      <c r="AC31" s="94" t="s">
        <v>38</v>
      </c>
      <c r="AD31" s="5"/>
      <c r="AE31" s="94" t="s">
        <v>34</v>
      </c>
      <c r="AF31" s="80" t="s">
        <v>28</v>
      </c>
      <c r="AG31" s="5" t="s">
        <v>26</v>
      </c>
      <c r="AH31" s="5" t="s">
        <v>33</v>
      </c>
      <c r="AI31" s="5"/>
      <c r="AJ31" s="5"/>
      <c r="AK31" s="5"/>
      <c r="AL31" s="5"/>
      <c r="AM31" s="5"/>
      <c r="AN31" s="5"/>
      <c r="AO31" s="5"/>
      <c r="AP31" s="84"/>
      <c r="AQ31" s="84"/>
      <c r="AR31" s="84"/>
      <c r="AS31" s="84"/>
      <c r="AT31" s="84"/>
      <c r="AV31" s="85" t="str">
        <f t="shared" si="5"/>
        <v/>
      </c>
      <c r="AW31" s="86" t="str">
        <f t="shared" si="15"/>
        <v/>
      </c>
      <c r="AX31" s="86" t="str">
        <f t="shared" si="0"/>
        <v/>
      </c>
      <c r="AY31" s="86" t="str">
        <f t="shared" si="6"/>
        <v/>
      </c>
      <c r="AZ31" s="86" t="str">
        <f t="shared" si="7"/>
        <v/>
      </c>
      <c r="BA31" s="86" t="str">
        <f t="shared" si="8"/>
        <v/>
      </c>
      <c r="BB31" s="86" t="str">
        <f t="shared" si="9"/>
        <v/>
      </c>
      <c r="BC31" s="86" t="str">
        <f t="shared" si="10"/>
        <v/>
      </c>
      <c r="BD31" s="86" t="str">
        <f t="shared" si="11"/>
        <v/>
      </c>
      <c r="BE31" s="86" t="str">
        <f t="shared" si="1"/>
        <v/>
      </c>
      <c r="BF31" s="86" t="str">
        <f t="shared" si="12"/>
        <v/>
      </c>
      <c r="BG31" s="86" t="str">
        <f t="shared" si="13"/>
        <v/>
      </c>
      <c r="BH31" s="86" t="str">
        <f t="shared" si="2"/>
        <v/>
      </c>
      <c r="BI31" s="87" t="str">
        <f t="shared" si="14"/>
        <v/>
      </c>
      <c r="BJ31" s="87" t="str">
        <f t="shared" si="3"/>
        <v/>
      </c>
      <c r="BL31" s="9">
        <v>27</v>
      </c>
      <c r="BM31" s="5" t="str">
        <f t="shared" si="4"/>
        <v>MA</v>
      </c>
      <c r="BN31" s="88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K31" s="9">
        <v>27</v>
      </c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</row>
    <row r="32" spans="1:100" ht="16" thickBot="1" x14ac:dyDescent="0.25">
      <c r="A32" s="89">
        <v>28</v>
      </c>
      <c r="B32" s="35" t="s">
        <v>75</v>
      </c>
      <c r="C32" s="35" t="s">
        <v>25</v>
      </c>
      <c r="D32" s="5"/>
      <c r="E32" s="35" t="s">
        <v>32</v>
      </c>
      <c r="F32" s="5"/>
      <c r="G32" s="35" t="s">
        <v>35</v>
      </c>
      <c r="H32" s="5"/>
      <c r="I32" s="35"/>
      <c r="J32" s="5"/>
      <c r="K32" s="35" t="s">
        <v>34</v>
      </c>
      <c r="L32" s="35" t="s">
        <v>27</v>
      </c>
      <c r="M32" s="35"/>
      <c r="N32" s="5"/>
      <c r="O32" s="35"/>
      <c r="P32" s="35"/>
      <c r="Q32" s="5" t="s">
        <v>29</v>
      </c>
      <c r="R32" s="5" t="s">
        <v>30</v>
      </c>
      <c r="S32" s="5" t="s">
        <v>37</v>
      </c>
      <c r="T32" s="5" t="s">
        <v>71</v>
      </c>
      <c r="U32" s="5"/>
      <c r="V32" s="95" t="s">
        <v>36</v>
      </c>
      <c r="W32" s="95" t="s">
        <v>40</v>
      </c>
      <c r="X32" s="5" t="s">
        <v>41</v>
      </c>
      <c r="Y32" s="5" t="s">
        <v>39</v>
      </c>
      <c r="Z32" s="5"/>
      <c r="AA32" s="35" t="s">
        <v>38</v>
      </c>
      <c r="AB32" s="5"/>
      <c r="AC32" s="94" t="s">
        <v>40</v>
      </c>
      <c r="AD32" s="5"/>
      <c r="AE32" s="94" t="s">
        <v>36</v>
      </c>
      <c r="AF32" s="80" t="s">
        <v>28</v>
      </c>
      <c r="AG32" s="5" t="s">
        <v>26</v>
      </c>
      <c r="AH32" s="5" t="s">
        <v>33</v>
      </c>
      <c r="AI32" s="5"/>
      <c r="AJ32" s="5"/>
      <c r="AK32" s="5"/>
      <c r="AL32" s="5"/>
      <c r="AM32" s="5"/>
      <c r="AN32" s="5"/>
      <c r="AO32" s="5"/>
      <c r="AP32" s="84"/>
      <c r="AQ32" s="84"/>
      <c r="AR32" s="84"/>
      <c r="AS32" s="84"/>
      <c r="AT32" s="84"/>
      <c r="AV32" s="85" t="str">
        <f t="shared" si="5"/>
        <v/>
      </c>
      <c r="AW32" s="86" t="str">
        <f t="shared" si="15"/>
        <v/>
      </c>
      <c r="AX32" s="86" t="str">
        <f t="shared" si="0"/>
        <v/>
      </c>
      <c r="AY32" s="86" t="str">
        <f t="shared" si="6"/>
        <v/>
      </c>
      <c r="AZ32" s="86" t="str">
        <f t="shared" si="7"/>
        <v/>
      </c>
      <c r="BA32" s="86" t="str">
        <f t="shared" si="8"/>
        <v/>
      </c>
      <c r="BB32" s="86" t="str">
        <f t="shared" si="9"/>
        <v/>
      </c>
      <c r="BC32" s="86" t="str">
        <f t="shared" si="10"/>
        <v/>
      </c>
      <c r="BD32" s="86" t="str">
        <f t="shared" si="11"/>
        <v/>
      </c>
      <c r="BE32" s="86" t="str">
        <f t="shared" si="1"/>
        <v/>
      </c>
      <c r="BF32" s="86" t="str">
        <f t="shared" si="12"/>
        <v/>
      </c>
      <c r="BG32" s="86" t="str">
        <f t="shared" si="13"/>
        <v/>
      </c>
      <c r="BH32" s="86" t="str">
        <f t="shared" si="2"/>
        <v/>
      </c>
      <c r="BI32" s="87" t="str">
        <f t="shared" si="14"/>
        <v/>
      </c>
      <c r="BJ32" s="87" t="str">
        <f t="shared" si="3"/>
        <v/>
      </c>
      <c r="BL32" s="9">
        <v>28</v>
      </c>
      <c r="BM32" s="5" t="str">
        <f t="shared" si="4"/>
        <v>M</v>
      </c>
      <c r="BN32" s="88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K32" s="9">
        <v>28</v>
      </c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</row>
    <row r="33" spans="1:100" ht="16" thickBot="1" x14ac:dyDescent="0.25">
      <c r="A33" s="89">
        <v>29</v>
      </c>
      <c r="B33" s="35" t="s">
        <v>76</v>
      </c>
      <c r="C33" s="35" t="s">
        <v>37</v>
      </c>
      <c r="D33" s="5"/>
      <c r="E33" s="35" t="s">
        <v>39</v>
      </c>
      <c r="F33" s="5"/>
      <c r="G33" s="35" t="s">
        <v>40</v>
      </c>
      <c r="H33" s="5"/>
      <c r="I33" s="35"/>
      <c r="J33" s="5"/>
      <c r="K33" s="35" t="s">
        <v>35</v>
      </c>
      <c r="L33" s="35" t="s">
        <v>32</v>
      </c>
      <c r="M33" s="35" t="s">
        <v>28</v>
      </c>
      <c r="N33" s="5" t="s">
        <v>41</v>
      </c>
      <c r="O33" s="35"/>
      <c r="P33" s="35" t="s">
        <v>25</v>
      </c>
      <c r="Q33" s="5" t="s">
        <v>36</v>
      </c>
      <c r="R33" s="5" t="s">
        <v>38</v>
      </c>
      <c r="S33" s="5"/>
      <c r="T33" s="5"/>
      <c r="U33" s="5"/>
      <c r="V33" s="95" t="s">
        <v>34</v>
      </c>
      <c r="W33" s="95" t="s">
        <v>71</v>
      </c>
      <c r="X33" s="5"/>
      <c r="Y33" s="5"/>
      <c r="Z33" s="5"/>
      <c r="AA33" s="35" t="s">
        <v>27</v>
      </c>
      <c r="AB33" s="5"/>
      <c r="AC33" s="94" t="s">
        <v>71</v>
      </c>
      <c r="AD33" s="5"/>
      <c r="AE33" s="94" t="s">
        <v>34</v>
      </c>
      <c r="AF33" s="80" t="s">
        <v>26</v>
      </c>
      <c r="AG33" s="5" t="s">
        <v>33</v>
      </c>
      <c r="AH33" s="5"/>
      <c r="AI33" s="5"/>
      <c r="AJ33" s="5"/>
      <c r="AK33" s="5"/>
      <c r="AL33" s="5"/>
      <c r="AM33" s="5"/>
      <c r="AN33" s="5"/>
      <c r="AO33" s="5"/>
      <c r="AP33" s="84"/>
      <c r="AQ33" s="84"/>
      <c r="AR33" s="84"/>
      <c r="AS33" s="84"/>
      <c r="AT33" s="84"/>
      <c r="AV33" s="85" t="str">
        <f t="shared" si="5"/>
        <v/>
      </c>
      <c r="AW33" s="86" t="str">
        <f t="shared" si="15"/>
        <v/>
      </c>
      <c r="AX33" s="86" t="str">
        <f t="shared" si="0"/>
        <v/>
      </c>
      <c r="AY33" s="86" t="str">
        <f t="shared" si="6"/>
        <v/>
      </c>
      <c r="AZ33" s="86" t="str">
        <f t="shared" si="7"/>
        <v/>
      </c>
      <c r="BA33" s="86" t="str">
        <f t="shared" si="8"/>
        <v/>
      </c>
      <c r="BB33" s="86" t="str">
        <f t="shared" si="9"/>
        <v/>
      </c>
      <c r="BC33" s="86" t="str">
        <f t="shared" si="10"/>
        <v/>
      </c>
      <c r="BD33" s="86" t="str">
        <f t="shared" si="11"/>
        <v/>
      </c>
      <c r="BE33" s="86" t="str">
        <f t="shared" si="1"/>
        <v/>
      </c>
      <c r="BF33" s="86" t="str">
        <f t="shared" si="12"/>
        <v/>
      </c>
      <c r="BG33" s="86" t="str">
        <f t="shared" si="13"/>
        <v/>
      </c>
      <c r="BH33" s="86" t="str">
        <f t="shared" si="2"/>
        <v/>
      </c>
      <c r="BI33" s="87" t="str">
        <f t="shared" si="14"/>
        <v/>
      </c>
      <c r="BJ33" s="87" t="str">
        <f t="shared" si="3"/>
        <v/>
      </c>
      <c r="BL33" s="9">
        <v>29</v>
      </c>
      <c r="BM33" s="5" t="str">
        <f t="shared" si="4"/>
        <v>G</v>
      </c>
      <c r="BN33" s="88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K33" s="9">
        <v>29</v>
      </c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</row>
    <row r="34" spans="1:100" ht="16" thickBot="1" x14ac:dyDescent="0.25">
      <c r="A34" s="89">
        <v>30</v>
      </c>
      <c r="B34" s="35" t="s">
        <v>77</v>
      </c>
      <c r="C34" s="35" t="s">
        <v>40</v>
      </c>
      <c r="D34" s="5" t="s">
        <v>34</v>
      </c>
      <c r="E34" s="35" t="s">
        <v>30</v>
      </c>
      <c r="F34" s="5"/>
      <c r="G34" s="35" t="s">
        <v>27</v>
      </c>
      <c r="H34" s="5"/>
      <c r="I34" s="35"/>
      <c r="J34" s="5"/>
      <c r="K34" s="94" t="s">
        <v>32</v>
      </c>
      <c r="L34" s="94" t="s">
        <v>32</v>
      </c>
      <c r="M34" s="35"/>
      <c r="N34" s="5"/>
      <c r="O34" s="35"/>
      <c r="P34" s="35"/>
      <c r="Q34" s="95" t="s">
        <v>35</v>
      </c>
      <c r="R34" s="5" t="s">
        <v>39</v>
      </c>
      <c r="S34" s="5" t="s">
        <v>37</v>
      </c>
      <c r="T34" s="5" t="s">
        <v>25</v>
      </c>
      <c r="U34" s="5"/>
      <c r="V34" s="95" t="s">
        <v>35</v>
      </c>
      <c r="W34" s="95" t="s">
        <v>38</v>
      </c>
      <c r="X34" s="95" t="s">
        <v>28</v>
      </c>
      <c r="Y34" s="5" t="s">
        <v>71</v>
      </c>
      <c r="Z34" s="5"/>
      <c r="AA34" s="35" t="s">
        <v>41</v>
      </c>
      <c r="AB34" s="5"/>
      <c r="AC34" s="94" t="s">
        <v>38</v>
      </c>
      <c r="AD34" s="5"/>
      <c r="AE34" s="94" t="s">
        <v>28</v>
      </c>
      <c r="AF34" s="80" t="s">
        <v>36</v>
      </c>
      <c r="AG34" s="5" t="s">
        <v>26</v>
      </c>
      <c r="AH34" s="5" t="s">
        <v>33</v>
      </c>
      <c r="AI34" s="5"/>
      <c r="AJ34" s="5"/>
      <c r="AK34" s="5"/>
      <c r="AL34" s="5"/>
      <c r="AM34" s="5"/>
      <c r="AN34" s="5"/>
      <c r="AO34" s="5"/>
      <c r="AP34" s="84"/>
      <c r="AQ34" s="84"/>
      <c r="AR34" s="84"/>
      <c r="AS34" s="84"/>
      <c r="AT34" s="84"/>
      <c r="AV34" s="85" t="str">
        <f t="shared" si="5"/>
        <v/>
      </c>
      <c r="AW34" s="86" t="str">
        <f t="shared" si="15"/>
        <v/>
      </c>
      <c r="AX34" s="86" t="str">
        <f t="shared" si="0"/>
        <v/>
      </c>
      <c r="AY34" s="86" t="str">
        <f t="shared" si="6"/>
        <v/>
      </c>
      <c r="AZ34" s="86" t="str">
        <f t="shared" si="7"/>
        <v/>
      </c>
      <c r="BA34" s="86" t="str">
        <f t="shared" si="8"/>
        <v/>
      </c>
      <c r="BB34" s="86" t="str">
        <f t="shared" si="9"/>
        <v/>
      </c>
      <c r="BC34" s="86" t="str">
        <f t="shared" si="10"/>
        <v/>
      </c>
      <c r="BD34" s="86" t="str">
        <f t="shared" si="11"/>
        <v/>
      </c>
      <c r="BE34" s="86" t="str">
        <f t="shared" si="1"/>
        <v/>
      </c>
      <c r="BF34" s="86" t="str">
        <f t="shared" si="12"/>
        <v/>
      </c>
      <c r="BG34" s="86" t="str">
        <f t="shared" si="13"/>
        <v/>
      </c>
      <c r="BH34" s="86" t="str">
        <f>IF(COUNTIF(C34:AO34,"RUZ")=0,"RUZ","")</f>
        <v/>
      </c>
      <c r="BI34" s="87" t="str">
        <f t="shared" si="14"/>
        <v/>
      </c>
      <c r="BJ34" s="87" t="str">
        <f t="shared" si="3"/>
        <v/>
      </c>
      <c r="BL34" s="10">
        <v>30</v>
      </c>
      <c r="BM34" s="5" t="str">
        <f t="shared" si="4"/>
        <v>V</v>
      </c>
      <c r="BN34" s="88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K34" s="10">
        <v>30</v>
      </c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</row>
    <row r="35" spans="1:100" s="75" customFormat="1" ht="16" thickBot="1" x14ac:dyDescent="0.25">
      <c r="A35" s="71">
        <v>31</v>
      </c>
      <c r="B35" s="72" t="s">
        <v>42</v>
      </c>
      <c r="C35" s="72"/>
      <c r="D35" s="19"/>
      <c r="E35" s="65"/>
      <c r="F35" s="19"/>
      <c r="G35" s="94" t="s">
        <v>25</v>
      </c>
      <c r="H35" s="19"/>
      <c r="I35" s="65"/>
      <c r="J35" s="19"/>
      <c r="K35" s="65"/>
      <c r="L35" s="65"/>
      <c r="M35" s="65"/>
      <c r="N35" s="19"/>
      <c r="O35" s="65"/>
      <c r="P35" s="65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65"/>
      <c r="AB35" s="19"/>
      <c r="AC35" s="94" t="s">
        <v>34</v>
      </c>
      <c r="AD35" s="19"/>
      <c r="AE35" s="65" t="s">
        <v>37</v>
      </c>
      <c r="AF35" s="73" t="s">
        <v>27</v>
      </c>
      <c r="AG35" s="19" t="s">
        <v>26</v>
      </c>
      <c r="AH35" s="19" t="s">
        <v>32</v>
      </c>
      <c r="AI35" s="19"/>
      <c r="AJ35" s="19"/>
      <c r="AK35" s="19"/>
      <c r="AL35" s="19"/>
      <c r="AM35" s="19"/>
      <c r="AN35" s="19"/>
      <c r="AO35" s="19"/>
      <c r="AP35" s="74"/>
      <c r="AQ35" s="74"/>
      <c r="AR35" s="74"/>
      <c r="AS35" s="74"/>
      <c r="AT35" s="74"/>
      <c r="AV35" s="76" t="str">
        <f>IF(COUNTIF(C35:AO35,"BUR")=0,"BUR","")</f>
        <v/>
      </c>
      <c r="AW35" s="77" t="str">
        <f t="shared" si="15"/>
        <v>CUR</v>
      </c>
      <c r="AX35" s="77" t="str">
        <f t="shared" si="0"/>
        <v/>
      </c>
      <c r="AY35" s="77" t="str">
        <f t="shared" si="6"/>
        <v>DES</v>
      </c>
      <c r="AZ35" s="77" t="str">
        <f t="shared" si="7"/>
        <v/>
      </c>
      <c r="BA35" s="77" t="str">
        <f t="shared" si="8"/>
        <v/>
      </c>
      <c r="BB35" s="77" t="str">
        <f t="shared" si="9"/>
        <v>LAM</v>
      </c>
      <c r="BC35" s="77" t="str">
        <f t="shared" si="10"/>
        <v>MAG</v>
      </c>
      <c r="BD35" s="77" t="str">
        <f t="shared" si="11"/>
        <v>MAS</v>
      </c>
      <c r="BE35" s="77" t="str">
        <f t="shared" si="1"/>
        <v>SAL</v>
      </c>
      <c r="BF35" s="77" t="str">
        <f t="shared" si="12"/>
        <v>OGG</v>
      </c>
      <c r="BG35" s="77" t="str">
        <f t="shared" si="13"/>
        <v/>
      </c>
      <c r="BH35" s="77" t="str">
        <f t="shared" si="2"/>
        <v>RUZ</v>
      </c>
      <c r="BI35" s="78" t="str">
        <f t="shared" si="14"/>
        <v/>
      </c>
      <c r="BJ35" s="78" t="str">
        <f t="shared" si="3"/>
        <v>LAM</v>
      </c>
      <c r="BL35" s="92">
        <v>31</v>
      </c>
      <c r="BM35" s="19" t="str">
        <f t="shared" si="4"/>
        <v>S</v>
      </c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K35" s="92">
        <v>31</v>
      </c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</row>
    <row r="36" spans="1:100" ht="16" thickBot="1" x14ac:dyDescent="0.25">
      <c r="B36" s="5"/>
    </row>
    <row r="37" spans="1:100" hidden="1" x14ac:dyDescent="0.2">
      <c r="C37" s="142" t="s">
        <v>1</v>
      </c>
      <c r="D37" s="143"/>
      <c r="E37" s="142" t="s">
        <v>2</v>
      </c>
      <c r="F37" s="143"/>
      <c r="G37" s="142" t="s">
        <v>3</v>
      </c>
      <c r="H37" s="143"/>
      <c r="I37" s="142" t="s">
        <v>4</v>
      </c>
      <c r="J37" s="143"/>
      <c r="K37" s="150" t="s">
        <v>5</v>
      </c>
      <c r="L37" s="150" t="s">
        <v>6</v>
      </c>
      <c r="M37" s="158" t="s">
        <v>7</v>
      </c>
      <c r="N37" s="159"/>
      <c r="O37" s="150" t="s">
        <v>8</v>
      </c>
      <c r="P37" s="150" t="s">
        <v>9</v>
      </c>
      <c r="Q37" s="142" t="s">
        <v>10</v>
      </c>
      <c r="R37" s="156"/>
      <c r="S37" s="156"/>
      <c r="T37" s="156"/>
      <c r="U37" s="143"/>
      <c r="V37" s="146" t="s">
        <v>11</v>
      </c>
      <c r="W37" s="154"/>
      <c r="X37" s="154"/>
      <c r="Y37" s="154"/>
      <c r="Z37" s="147"/>
      <c r="AA37" s="146" t="s">
        <v>12</v>
      </c>
      <c r="AB37" s="154"/>
      <c r="AC37" s="138" t="s">
        <v>13</v>
      </c>
      <c r="AD37" s="139"/>
      <c r="AE37" s="15" t="s">
        <v>14</v>
      </c>
    </row>
    <row r="38" spans="1:100" ht="16" hidden="1" thickBot="1" x14ac:dyDescent="0.25">
      <c r="C38" s="144"/>
      <c r="D38" s="145"/>
      <c r="E38" s="144"/>
      <c r="F38" s="145"/>
      <c r="G38" s="144"/>
      <c r="H38" s="145"/>
      <c r="I38" s="144"/>
      <c r="J38" s="145"/>
      <c r="K38" s="151"/>
      <c r="L38" s="151"/>
      <c r="M38" s="160"/>
      <c r="N38" s="161"/>
      <c r="O38" s="151"/>
      <c r="P38" s="151"/>
      <c r="Q38" s="144"/>
      <c r="R38" s="157"/>
      <c r="S38" s="157"/>
      <c r="T38" s="157"/>
      <c r="U38" s="145"/>
      <c r="V38" s="148"/>
      <c r="W38" s="155"/>
      <c r="X38" s="155"/>
      <c r="Y38" s="155"/>
      <c r="Z38" s="149"/>
      <c r="AA38" s="148"/>
      <c r="AB38" s="155"/>
      <c r="AC38" s="140"/>
      <c r="AD38" s="141"/>
      <c r="AE38" s="16" t="s">
        <v>17</v>
      </c>
    </row>
    <row r="39" spans="1:100" hidden="1" x14ac:dyDescent="0.2">
      <c r="A39" t="s">
        <v>34</v>
      </c>
      <c r="C39" s="12">
        <f>COUNTIF(C5:C35, "BUR")</f>
        <v>1</v>
      </c>
      <c r="D39" s="12">
        <f t="shared" ref="D39:O39" si="16">COUNTIF(D5:D35, "BUR")</f>
        <v>2</v>
      </c>
      <c r="E39">
        <f t="shared" si="16"/>
        <v>1</v>
      </c>
      <c r="F39">
        <f t="shared" si="16"/>
        <v>0</v>
      </c>
      <c r="G39" s="12">
        <f t="shared" si="16"/>
        <v>2</v>
      </c>
      <c r="H39" s="12">
        <f t="shared" si="16"/>
        <v>0</v>
      </c>
      <c r="I39">
        <f t="shared" si="16"/>
        <v>0</v>
      </c>
      <c r="J39">
        <f t="shared" si="16"/>
        <v>0</v>
      </c>
      <c r="K39" s="12">
        <f t="shared" si="16"/>
        <v>3</v>
      </c>
      <c r="L39">
        <f t="shared" si="16"/>
        <v>1</v>
      </c>
      <c r="M39" s="12">
        <f t="shared" si="16"/>
        <v>0</v>
      </c>
      <c r="N39" s="12">
        <f t="shared" si="16"/>
        <v>0</v>
      </c>
      <c r="O39">
        <f t="shared" si="16"/>
        <v>0</v>
      </c>
      <c r="P39" s="12">
        <f>COUNTIF(P5:P35, "BUR")</f>
        <v>1</v>
      </c>
      <c r="Q39">
        <f t="shared" ref="Q39:V39" si="17">COUNTIF(Q5:Q35, "BUR")</f>
        <v>0</v>
      </c>
      <c r="R39">
        <f t="shared" si="17"/>
        <v>0</v>
      </c>
      <c r="S39">
        <f t="shared" si="17"/>
        <v>1</v>
      </c>
      <c r="T39">
        <f t="shared" si="17"/>
        <v>2</v>
      </c>
      <c r="U39">
        <f t="shared" si="17"/>
        <v>0</v>
      </c>
      <c r="V39" s="12">
        <f t="shared" si="17"/>
        <v>2</v>
      </c>
      <c r="W39" s="12">
        <f>COUNTIF(W5:W35, "BUR")</f>
        <v>1</v>
      </c>
      <c r="X39" s="12">
        <f t="shared" ref="X39:Z39" si="18">COUNTIF(X5:X35, "BUR")</f>
        <v>0</v>
      </c>
      <c r="Y39" s="12">
        <f t="shared" si="18"/>
        <v>0</v>
      </c>
      <c r="Z39" s="12">
        <f t="shared" si="18"/>
        <v>0</v>
      </c>
      <c r="AA39">
        <f>COUNTIF(AA5:AA35, "BUR")</f>
        <v>0</v>
      </c>
      <c r="AB39">
        <f t="shared" ref="AB39:AE39" si="19">COUNTIF(AB5:AB35, "BUR")</f>
        <v>0</v>
      </c>
      <c r="AC39" s="12">
        <f t="shared" si="19"/>
        <v>3</v>
      </c>
      <c r="AD39" s="12">
        <f t="shared" si="19"/>
        <v>0</v>
      </c>
      <c r="AE39">
        <f t="shared" si="19"/>
        <v>2</v>
      </c>
    </row>
    <row r="40" spans="1:100" hidden="1" x14ac:dyDescent="0.2">
      <c r="A40" t="s">
        <v>32</v>
      </c>
      <c r="C40" s="12">
        <f>COUNTIF(C5:C35, "BON")</f>
        <v>2</v>
      </c>
      <c r="D40" s="12">
        <f>COUNTIF(D5:D35, "BON")</f>
        <v>3</v>
      </c>
      <c r="E40">
        <f>COUNTIF(E6:E36, "BON")</f>
        <v>3</v>
      </c>
      <c r="F40">
        <f>COUNTIF(F6:F36, "BON")</f>
        <v>0</v>
      </c>
      <c r="G40" s="12">
        <f>COUNTIF(G6:G36, "BON")</f>
        <v>1</v>
      </c>
      <c r="H40" s="12">
        <f>COUNTIF(H6:H36, "BON")</f>
        <v>0</v>
      </c>
      <c r="I40">
        <f>COUNTIF(I6:I36, "BON")</f>
        <v>0</v>
      </c>
      <c r="J40">
        <f t="shared" ref="J40:AE40" si="20">COUNTIF(J6:J36, "BON")</f>
        <v>0</v>
      </c>
      <c r="K40" s="12">
        <f t="shared" si="20"/>
        <v>2</v>
      </c>
      <c r="L40">
        <f t="shared" si="20"/>
        <v>3</v>
      </c>
      <c r="M40" s="12">
        <f t="shared" si="20"/>
        <v>0</v>
      </c>
      <c r="N40" s="12">
        <f t="shared" si="20"/>
        <v>0</v>
      </c>
      <c r="O40">
        <f t="shared" si="20"/>
        <v>0</v>
      </c>
      <c r="P40" s="12">
        <f t="shared" si="20"/>
        <v>0</v>
      </c>
      <c r="Q40">
        <f t="shared" si="20"/>
        <v>0</v>
      </c>
      <c r="R40">
        <f t="shared" si="20"/>
        <v>0</v>
      </c>
      <c r="S40">
        <f t="shared" si="20"/>
        <v>0</v>
      </c>
      <c r="T40">
        <f t="shared" si="20"/>
        <v>1</v>
      </c>
      <c r="U40">
        <f t="shared" si="20"/>
        <v>0</v>
      </c>
      <c r="V40" s="12">
        <f t="shared" si="20"/>
        <v>0</v>
      </c>
      <c r="W40" s="12">
        <f t="shared" si="20"/>
        <v>4</v>
      </c>
      <c r="X40" s="12">
        <f t="shared" si="20"/>
        <v>0</v>
      </c>
      <c r="Y40" s="12">
        <f t="shared" si="20"/>
        <v>2</v>
      </c>
      <c r="Z40" s="12">
        <f t="shared" si="20"/>
        <v>0</v>
      </c>
      <c r="AA40">
        <f t="shared" si="20"/>
        <v>1</v>
      </c>
      <c r="AB40">
        <f t="shared" si="20"/>
        <v>0</v>
      </c>
      <c r="AC40" s="12">
        <f t="shared" si="20"/>
        <v>3</v>
      </c>
      <c r="AD40" s="12">
        <f t="shared" si="20"/>
        <v>0</v>
      </c>
      <c r="AE40">
        <f t="shared" si="20"/>
        <v>3</v>
      </c>
    </row>
    <row r="41" spans="1:100" hidden="1" x14ac:dyDescent="0.2">
      <c r="A41" t="s">
        <v>33</v>
      </c>
      <c r="C41" s="12">
        <f>COUNTIF(C5:C35, "CUR")</f>
        <v>0</v>
      </c>
      <c r="D41" s="12">
        <f t="shared" ref="D41:O41" si="21">COUNTIF(D5:D35, "CUR")</f>
        <v>0</v>
      </c>
      <c r="E41">
        <f t="shared" si="21"/>
        <v>0</v>
      </c>
      <c r="F41">
        <f t="shared" si="21"/>
        <v>0</v>
      </c>
      <c r="G41" s="12">
        <f t="shared" si="21"/>
        <v>0</v>
      </c>
      <c r="H41" s="12">
        <f t="shared" si="21"/>
        <v>0</v>
      </c>
      <c r="I41">
        <f t="shared" si="21"/>
        <v>0</v>
      </c>
      <c r="J41">
        <f t="shared" si="21"/>
        <v>0</v>
      </c>
      <c r="K41" s="12">
        <f t="shared" si="21"/>
        <v>0</v>
      </c>
      <c r="L41">
        <f t="shared" si="21"/>
        <v>0</v>
      </c>
      <c r="M41" s="12">
        <f t="shared" si="21"/>
        <v>0</v>
      </c>
      <c r="N41" s="12">
        <f t="shared" si="21"/>
        <v>0</v>
      </c>
      <c r="O41">
        <f t="shared" si="21"/>
        <v>0</v>
      </c>
      <c r="P41" s="12">
        <f>COUNTIF(P5:P35, "CUR")</f>
        <v>0</v>
      </c>
      <c r="Q41">
        <f t="shared" ref="Q41:V41" si="22">COUNTIF(Q5:Q35, "CUR")</f>
        <v>0</v>
      </c>
      <c r="R41">
        <f t="shared" si="22"/>
        <v>0</v>
      </c>
      <c r="S41">
        <f t="shared" si="22"/>
        <v>0</v>
      </c>
      <c r="T41">
        <f t="shared" si="22"/>
        <v>0</v>
      </c>
      <c r="U41">
        <f t="shared" si="22"/>
        <v>0</v>
      </c>
      <c r="V41" s="12">
        <f t="shared" si="22"/>
        <v>0</v>
      </c>
      <c r="W41" s="12">
        <f>COUNTIF(W5:W35, "CUR")</f>
        <v>0</v>
      </c>
      <c r="X41" s="12">
        <f t="shared" ref="X41:Z41" si="23">COUNTIF(X5:X35, "CUR")</f>
        <v>0</v>
      </c>
      <c r="Y41" s="12">
        <f t="shared" si="23"/>
        <v>0</v>
      </c>
      <c r="Z41" s="12">
        <f t="shared" si="23"/>
        <v>0</v>
      </c>
      <c r="AA41">
        <f>COUNTIF(AA5:AA35, "CUR")</f>
        <v>0</v>
      </c>
      <c r="AB41">
        <f t="shared" ref="AB41:AE41" si="24">COUNTIF(AB5:AB35, "CUR")</f>
        <v>0</v>
      </c>
      <c r="AC41" s="12">
        <f t="shared" si="24"/>
        <v>0</v>
      </c>
      <c r="AD41" s="12">
        <f t="shared" si="24"/>
        <v>0</v>
      </c>
      <c r="AE41">
        <f t="shared" si="24"/>
        <v>0</v>
      </c>
    </row>
    <row r="42" spans="1:100" hidden="1" x14ac:dyDescent="0.2">
      <c r="A42" t="s">
        <v>38</v>
      </c>
      <c r="C42" s="12">
        <f>COUNTIF(C5:C35, "DES")</f>
        <v>0</v>
      </c>
      <c r="D42" s="12">
        <f t="shared" ref="D42:O42" si="25">COUNTIF(D5:D35, "DES")</f>
        <v>2</v>
      </c>
      <c r="E42">
        <f t="shared" si="25"/>
        <v>1</v>
      </c>
      <c r="F42">
        <f t="shared" si="25"/>
        <v>0</v>
      </c>
      <c r="G42" s="12">
        <f t="shared" si="25"/>
        <v>1</v>
      </c>
      <c r="H42" s="12">
        <f t="shared" si="25"/>
        <v>0</v>
      </c>
      <c r="I42">
        <f t="shared" si="25"/>
        <v>0</v>
      </c>
      <c r="J42">
        <f t="shared" si="25"/>
        <v>0</v>
      </c>
      <c r="K42" s="12">
        <f t="shared" si="25"/>
        <v>0</v>
      </c>
      <c r="L42">
        <f t="shared" si="25"/>
        <v>0</v>
      </c>
      <c r="M42" s="12">
        <f t="shared" si="25"/>
        <v>0</v>
      </c>
      <c r="N42" s="12">
        <f t="shared" si="25"/>
        <v>0</v>
      </c>
      <c r="O42">
        <f t="shared" si="25"/>
        <v>0</v>
      </c>
      <c r="P42" s="12">
        <f>COUNTIF(P5:P35, "DES")</f>
        <v>0</v>
      </c>
      <c r="Q42">
        <f t="shared" ref="Q42:V42" si="26">COUNTIF(Q5:Q35, "DES")</f>
        <v>0</v>
      </c>
      <c r="R42">
        <f t="shared" si="26"/>
        <v>6</v>
      </c>
      <c r="S42">
        <f t="shared" si="26"/>
        <v>0</v>
      </c>
      <c r="T42">
        <f t="shared" si="26"/>
        <v>0</v>
      </c>
      <c r="U42">
        <f t="shared" si="26"/>
        <v>0</v>
      </c>
      <c r="V42" s="12">
        <f t="shared" si="26"/>
        <v>0</v>
      </c>
      <c r="W42" s="12">
        <f>COUNTIF(W5:W35, "DES")</f>
        <v>4</v>
      </c>
      <c r="X42" s="12">
        <f t="shared" ref="X42:Z42" si="27">COUNTIF(X5:X35, "DES")</f>
        <v>0</v>
      </c>
      <c r="Y42" s="12">
        <f t="shared" si="27"/>
        <v>0</v>
      </c>
      <c r="Z42" s="12">
        <f t="shared" si="27"/>
        <v>0</v>
      </c>
      <c r="AA42">
        <f>COUNTIF(AA5:AA35, "DES")</f>
        <v>1</v>
      </c>
      <c r="AB42">
        <f t="shared" ref="AB42:AE42" si="28">COUNTIF(AB5:AB35, "DES")</f>
        <v>0</v>
      </c>
      <c r="AC42" s="12">
        <f t="shared" si="28"/>
        <v>3</v>
      </c>
      <c r="AD42" s="12">
        <f t="shared" si="28"/>
        <v>0</v>
      </c>
      <c r="AE42">
        <f t="shared" si="28"/>
        <v>2</v>
      </c>
    </row>
    <row r="43" spans="1:100" hidden="1" x14ac:dyDescent="0.2">
      <c r="A43" t="s">
        <v>27</v>
      </c>
      <c r="C43" s="12">
        <f>COUNTIF(C5:C35, "DON")</f>
        <v>2</v>
      </c>
      <c r="D43" s="12">
        <f t="shared" ref="D43:O43" si="29">COUNTIF(D5:D35, "DON")</f>
        <v>0</v>
      </c>
      <c r="E43">
        <f t="shared" si="29"/>
        <v>1</v>
      </c>
      <c r="F43">
        <f t="shared" si="29"/>
        <v>0</v>
      </c>
      <c r="G43" s="12">
        <f t="shared" si="29"/>
        <v>3</v>
      </c>
      <c r="H43" s="12">
        <f t="shared" si="29"/>
        <v>0</v>
      </c>
      <c r="I43">
        <f t="shared" si="29"/>
        <v>0</v>
      </c>
      <c r="J43">
        <f t="shared" si="29"/>
        <v>0</v>
      </c>
      <c r="K43" s="12">
        <f t="shared" si="29"/>
        <v>0</v>
      </c>
      <c r="L43">
        <f t="shared" si="29"/>
        <v>2</v>
      </c>
      <c r="M43" s="12">
        <f t="shared" si="29"/>
        <v>0</v>
      </c>
      <c r="N43" s="12">
        <f t="shared" si="29"/>
        <v>0</v>
      </c>
      <c r="O43">
        <f t="shared" si="29"/>
        <v>0</v>
      </c>
      <c r="P43" s="12">
        <f>COUNTIF(P5:P35, "DON")</f>
        <v>0</v>
      </c>
      <c r="Q43">
        <f t="shared" ref="Q43:V43" si="30">COUNTIF(Q5:Q35, "DON")</f>
        <v>1</v>
      </c>
      <c r="R43">
        <f t="shared" si="30"/>
        <v>1</v>
      </c>
      <c r="S43">
        <f t="shared" si="30"/>
        <v>1</v>
      </c>
      <c r="T43">
        <f t="shared" si="30"/>
        <v>1</v>
      </c>
      <c r="U43">
        <f t="shared" si="30"/>
        <v>0</v>
      </c>
      <c r="V43" s="12">
        <f t="shared" si="30"/>
        <v>4</v>
      </c>
      <c r="W43" s="12">
        <f>COUNTIF(W5:W35, "DON")</f>
        <v>0</v>
      </c>
      <c r="X43" s="12">
        <f t="shared" ref="X43:Z43" si="31">COUNTIF(X5:X35, "DON")</f>
        <v>0</v>
      </c>
      <c r="Y43" s="12">
        <f t="shared" si="31"/>
        <v>0</v>
      </c>
      <c r="Z43" s="12">
        <f t="shared" si="31"/>
        <v>0</v>
      </c>
      <c r="AA43">
        <f>COUNTIF(AA5:AA35, "DON")</f>
        <v>1</v>
      </c>
      <c r="AB43">
        <f t="shared" ref="AB43:AE43" si="32">COUNTIF(AB5:AB35, "DON")</f>
        <v>0</v>
      </c>
      <c r="AC43" s="12">
        <f t="shared" si="32"/>
        <v>2</v>
      </c>
      <c r="AD43" s="12">
        <f t="shared" si="32"/>
        <v>0</v>
      </c>
      <c r="AE43">
        <f t="shared" si="32"/>
        <v>3</v>
      </c>
    </row>
    <row r="44" spans="1:100" hidden="1" x14ac:dyDescent="0.2">
      <c r="A44" t="s">
        <v>25</v>
      </c>
      <c r="C44" s="12">
        <f>COUNTIF(C5:C35, "FUM")</f>
        <v>1</v>
      </c>
      <c r="D44" s="12">
        <f t="shared" ref="D44:O44" si="33">COUNTIF(D5:D35, "FUM")</f>
        <v>0</v>
      </c>
      <c r="E44">
        <f t="shared" si="33"/>
        <v>1</v>
      </c>
      <c r="F44">
        <f t="shared" si="33"/>
        <v>0</v>
      </c>
      <c r="G44" s="12">
        <f t="shared" si="33"/>
        <v>2</v>
      </c>
      <c r="H44" s="12">
        <f t="shared" si="33"/>
        <v>0</v>
      </c>
      <c r="I44">
        <f t="shared" si="33"/>
        <v>0</v>
      </c>
      <c r="J44">
        <f t="shared" si="33"/>
        <v>0</v>
      </c>
      <c r="K44" s="12">
        <f t="shared" si="33"/>
        <v>2</v>
      </c>
      <c r="L44">
        <f t="shared" si="33"/>
        <v>3</v>
      </c>
      <c r="M44" s="12">
        <f t="shared" si="33"/>
        <v>0</v>
      </c>
      <c r="N44" s="12">
        <f t="shared" si="33"/>
        <v>0</v>
      </c>
      <c r="O44">
        <f t="shared" si="33"/>
        <v>0</v>
      </c>
      <c r="P44" s="12">
        <f>COUNTIF(P5:P35, "FUM")</f>
        <v>1</v>
      </c>
      <c r="Q44">
        <f t="shared" ref="Q44:V44" si="34">COUNTIF(Q5:Q35, "FUM")</f>
        <v>0</v>
      </c>
      <c r="R44">
        <f t="shared" si="34"/>
        <v>1</v>
      </c>
      <c r="S44">
        <f t="shared" si="34"/>
        <v>0</v>
      </c>
      <c r="T44">
        <f t="shared" si="34"/>
        <v>7</v>
      </c>
      <c r="U44">
        <f t="shared" si="34"/>
        <v>0</v>
      </c>
      <c r="V44" s="12">
        <f t="shared" si="34"/>
        <v>0</v>
      </c>
      <c r="W44" s="12">
        <f>COUNTIF(W5:W35, "FUM")</f>
        <v>1</v>
      </c>
      <c r="X44" s="12">
        <f t="shared" ref="X44:Z44" si="35">COUNTIF(X5:X35, "FUM")</f>
        <v>0</v>
      </c>
      <c r="Y44" s="12">
        <f t="shared" si="35"/>
        <v>3</v>
      </c>
      <c r="Z44" s="12">
        <f t="shared" si="35"/>
        <v>0</v>
      </c>
      <c r="AA44">
        <f>COUNTIF(AA5:AA35, "FUM")</f>
        <v>1</v>
      </c>
      <c r="AB44">
        <f t="shared" ref="AB44:AE44" si="36">COUNTIF(AB5:AB35, "FUM")</f>
        <v>0</v>
      </c>
      <c r="AC44" s="12">
        <f t="shared" si="36"/>
        <v>3</v>
      </c>
      <c r="AD44" s="12">
        <f t="shared" si="36"/>
        <v>0</v>
      </c>
      <c r="AE44">
        <f t="shared" si="36"/>
        <v>3</v>
      </c>
    </row>
    <row r="45" spans="1:100" hidden="1" x14ac:dyDescent="0.2">
      <c r="A45" t="s">
        <v>39</v>
      </c>
      <c r="C45" s="12">
        <f>COUNTIF(C5:C35, "LAM")</f>
        <v>2</v>
      </c>
      <c r="D45" s="12">
        <f t="shared" ref="D45:O45" si="37">COUNTIF(D5:D35, "LAM")</f>
        <v>1</v>
      </c>
      <c r="E45">
        <f t="shared" si="37"/>
        <v>3</v>
      </c>
      <c r="F45">
        <f t="shared" si="37"/>
        <v>0</v>
      </c>
      <c r="G45" s="12">
        <f t="shared" si="37"/>
        <v>2</v>
      </c>
      <c r="H45" s="12">
        <f t="shared" si="37"/>
        <v>0</v>
      </c>
      <c r="I45">
        <f t="shared" si="37"/>
        <v>0</v>
      </c>
      <c r="J45">
        <f t="shared" si="37"/>
        <v>0</v>
      </c>
      <c r="K45" s="12">
        <f t="shared" si="37"/>
        <v>4</v>
      </c>
      <c r="L45">
        <f t="shared" si="37"/>
        <v>4</v>
      </c>
      <c r="M45" s="12">
        <f t="shared" si="37"/>
        <v>0</v>
      </c>
      <c r="N45" s="12">
        <f t="shared" si="37"/>
        <v>0</v>
      </c>
      <c r="O45">
        <f t="shared" si="37"/>
        <v>0</v>
      </c>
      <c r="P45" s="12">
        <f>COUNTIF(P5:P35, "LAM")</f>
        <v>0</v>
      </c>
      <c r="Q45">
        <f t="shared" ref="Q45:V45" si="38">COUNTIF(Q5:Q35, "LAM")</f>
        <v>0</v>
      </c>
      <c r="R45">
        <f t="shared" si="38"/>
        <v>2</v>
      </c>
      <c r="S45">
        <f t="shared" si="38"/>
        <v>0</v>
      </c>
      <c r="T45">
        <f t="shared" si="38"/>
        <v>1</v>
      </c>
      <c r="U45">
        <f t="shared" si="38"/>
        <v>0</v>
      </c>
      <c r="V45" s="12">
        <f t="shared" si="38"/>
        <v>0</v>
      </c>
      <c r="W45" s="12">
        <f>COUNTIF(W5:W35, "LAM")</f>
        <v>0</v>
      </c>
      <c r="X45" s="12">
        <f t="shared" ref="X45:Z45" si="39">COUNTIF(X5:X35, "LAM")</f>
        <v>0</v>
      </c>
      <c r="Y45" s="12">
        <f t="shared" si="39"/>
        <v>1</v>
      </c>
      <c r="Z45" s="12">
        <f t="shared" si="39"/>
        <v>0</v>
      </c>
      <c r="AA45">
        <f>COUNTIF(AA5:AA35, "LAM")</f>
        <v>1</v>
      </c>
      <c r="AB45">
        <f t="shared" ref="AB45:AE45" si="40">COUNTIF(AB5:AB35, "LAM")</f>
        <v>0</v>
      </c>
      <c r="AC45" s="12">
        <f t="shared" si="40"/>
        <v>0</v>
      </c>
      <c r="AD45" s="12">
        <f t="shared" si="40"/>
        <v>0</v>
      </c>
      <c r="AE45">
        <f t="shared" si="40"/>
        <v>0</v>
      </c>
    </row>
    <row r="46" spans="1:100" hidden="1" x14ac:dyDescent="0.2">
      <c r="A46" t="s">
        <v>40</v>
      </c>
      <c r="C46" s="12">
        <f>COUNTIF(C5:C35, "MAG")</f>
        <v>4</v>
      </c>
      <c r="D46" s="12">
        <f t="shared" ref="D46:O46" si="41">COUNTIF(D5:D35, "MAG")</f>
        <v>0</v>
      </c>
      <c r="E46">
        <f t="shared" si="41"/>
        <v>0</v>
      </c>
      <c r="F46">
        <f t="shared" si="41"/>
        <v>0</v>
      </c>
      <c r="G46" s="12">
        <f t="shared" si="41"/>
        <v>4</v>
      </c>
      <c r="H46" s="12">
        <f t="shared" si="41"/>
        <v>0</v>
      </c>
      <c r="I46">
        <f t="shared" si="41"/>
        <v>0</v>
      </c>
      <c r="J46">
        <f t="shared" si="41"/>
        <v>0</v>
      </c>
      <c r="K46" s="12">
        <f t="shared" si="41"/>
        <v>1</v>
      </c>
      <c r="L46">
        <f t="shared" si="41"/>
        <v>0</v>
      </c>
      <c r="M46" s="12">
        <f t="shared" si="41"/>
        <v>0</v>
      </c>
      <c r="N46" s="12">
        <f t="shared" si="41"/>
        <v>0</v>
      </c>
      <c r="O46">
        <f t="shared" si="41"/>
        <v>0</v>
      </c>
      <c r="P46" s="12">
        <f>COUNTIF(P5:P35, "MAG")</f>
        <v>0</v>
      </c>
      <c r="Q46">
        <f t="shared" ref="Q46:V46" si="42">COUNTIF(Q5:Q35, "MAG")</f>
        <v>2</v>
      </c>
      <c r="R46">
        <f t="shared" si="42"/>
        <v>1</v>
      </c>
      <c r="S46">
        <f t="shared" si="42"/>
        <v>0</v>
      </c>
      <c r="T46">
        <f t="shared" si="42"/>
        <v>0</v>
      </c>
      <c r="U46">
        <f t="shared" si="42"/>
        <v>0</v>
      </c>
      <c r="V46" s="12">
        <f t="shared" si="42"/>
        <v>1</v>
      </c>
      <c r="W46" s="12">
        <f>COUNTIF(W5:W35, "MAG")</f>
        <v>2</v>
      </c>
      <c r="X46" s="12">
        <f t="shared" ref="X46:Z46" si="43">COUNTIF(X5:X35, "MAG")</f>
        <v>0</v>
      </c>
      <c r="Y46" s="12">
        <f t="shared" si="43"/>
        <v>0</v>
      </c>
      <c r="Z46" s="12">
        <f t="shared" si="43"/>
        <v>0</v>
      </c>
      <c r="AA46">
        <f>COUNTIF(AA5:AA35, "MAG")</f>
        <v>0</v>
      </c>
      <c r="AB46">
        <f t="shared" ref="AB46:AE46" si="44">COUNTIF(AB5:AB35, "MAG")</f>
        <v>0</v>
      </c>
      <c r="AC46" s="12">
        <f t="shared" si="44"/>
        <v>3</v>
      </c>
      <c r="AD46" s="12">
        <f t="shared" si="44"/>
        <v>0</v>
      </c>
      <c r="AE46">
        <f t="shared" si="44"/>
        <v>2</v>
      </c>
    </row>
    <row r="47" spans="1:100" hidden="1" x14ac:dyDescent="0.2">
      <c r="A47" t="s">
        <v>28</v>
      </c>
      <c r="C47" s="12">
        <f>COUNTIF(C5:C35, "MAS")</f>
        <v>2</v>
      </c>
      <c r="D47" s="12">
        <f t="shared" ref="D47:O47" si="45">COUNTIF(D5:D35, "MAS")</f>
        <v>0</v>
      </c>
      <c r="E47">
        <f t="shared" si="45"/>
        <v>1</v>
      </c>
      <c r="F47">
        <f t="shared" si="45"/>
        <v>0</v>
      </c>
      <c r="G47" s="12">
        <f t="shared" si="45"/>
        <v>1</v>
      </c>
      <c r="H47" s="12">
        <f t="shared" si="45"/>
        <v>0</v>
      </c>
      <c r="I47">
        <f t="shared" si="45"/>
        <v>0</v>
      </c>
      <c r="J47">
        <f t="shared" si="45"/>
        <v>0</v>
      </c>
      <c r="K47" s="12">
        <f t="shared" si="45"/>
        <v>2</v>
      </c>
      <c r="L47">
        <f t="shared" si="45"/>
        <v>1</v>
      </c>
      <c r="M47" s="12">
        <f t="shared" si="45"/>
        <v>2</v>
      </c>
      <c r="N47" s="12">
        <f t="shared" si="45"/>
        <v>0</v>
      </c>
      <c r="O47">
        <f t="shared" si="45"/>
        <v>1</v>
      </c>
      <c r="P47" s="12">
        <f>COUNTIF(P5:P35, "MAS")</f>
        <v>0</v>
      </c>
      <c r="Q47">
        <f t="shared" ref="Q47:V47" si="46">COUNTIF(Q5:Q35, "MAS")</f>
        <v>1</v>
      </c>
      <c r="R47">
        <f t="shared" si="46"/>
        <v>0</v>
      </c>
      <c r="S47">
        <f t="shared" si="46"/>
        <v>0</v>
      </c>
      <c r="T47">
        <f t="shared" si="46"/>
        <v>0</v>
      </c>
      <c r="U47">
        <f t="shared" si="46"/>
        <v>0</v>
      </c>
      <c r="V47" s="12">
        <f t="shared" si="46"/>
        <v>1</v>
      </c>
      <c r="W47" s="12">
        <f>COUNTIF(W5:W35, "MAS")</f>
        <v>0</v>
      </c>
      <c r="X47" s="12">
        <f t="shared" ref="X47:Z47" si="47">COUNTIF(X5:X35, "MAS")</f>
        <v>2</v>
      </c>
      <c r="Y47" s="12">
        <f t="shared" si="47"/>
        <v>0</v>
      </c>
      <c r="Z47" s="12">
        <f t="shared" si="47"/>
        <v>0</v>
      </c>
      <c r="AA47">
        <f>COUNTIF(AA5:AA35, "MAS")</f>
        <v>1</v>
      </c>
      <c r="AB47">
        <f t="shared" ref="AB47:AE47" si="48">COUNTIF(AB5:AB35, "MAS")</f>
        <v>0</v>
      </c>
      <c r="AC47" s="12">
        <f t="shared" si="48"/>
        <v>2</v>
      </c>
      <c r="AD47" s="12">
        <f t="shared" si="48"/>
        <v>0</v>
      </c>
      <c r="AE47">
        <f t="shared" si="48"/>
        <v>3</v>
      </c>
    </row>
    <row r="48" spans="1:100" hidden="1" x14ac:dyDescent="0.2">
      <c r="A48" t="s">
        <v>71</v>
      </c>
      <c r="C48" s="12">
        <f t="shared" ref="C48:AE48" si="49">COUNTIF(C5:C35, "SAL")</f>
        <v>0</v>
      </c>
      <c r="D48" s="12">
        <f t="shared" si="49"/>
        <v>0</v>
      </c>
      <c r="E48">
        <f t="shared" si="49"/>
        <v>0</v>
      </c>
      <c r="F48">
        <f t="shared" si="49"/>
        <v>0</v>
      </c>
      <c r="G48" s="12">
        <f t="shared" si="49"/>
        <v>1</v>
      </c>
      <c r="H48" s="12">
        <f t="shared" si="49"/>
        <v>0</v>
      </c>
      <c r="I48">
        <f t="shared" si="49"/>
        <v>0</v>
      </c>
      <c r="J48">
        <f t="shared" si="49"/>
        <v>0</v>
      </c>
      <c r="K48" s="12">
        <f t="shared" si="49"/>
        <v>2</v>
      </c>
      <c r="L48">
        <f t="shared" si="49"/>
        <v>3</v>
      </c>
      <c r="M48" s="12">
        <f t="shared" si="49"/>
        <v>0</v>
      </c>
      <c r="N48" s="12">
        <f t="shared" si="49"/>
        <v>0</v>
      </c>
      <c r="O48">
        <f t="shared" si="49"/>
        <v>0</v>
      </c>
      <c r="P48" s="12">
        <f t="shared" si="49"/>
        <v>0</v>
      </c>
      <c r="Q48">
        <f t="shared" si="49"/>
        <v>0</v>
      </c>
      <c r="R48">
        <f t="shared" si="49"/>
        <v>1</v>
      </c>
      <c r="S48">
        <f t="shared" si="49"/>
        <v>0</v>
      </c>
      <c r="T48">
        <f t="shared" si="49"/>
        <v>3</v>
      </c>
      <c r="U48">
        <f t="shared" si="49"/>
        <v>0</v>
      </c>
      <c r="V48" s="12">
        <f t="shared" si="49"/>
        <v>0</v>
      </c>
      <c r="W48" s="12">
        <f t="shared" si="49"/>
        <v>5</v>
      </c>
      <c r="X48" s="12">
        <f t="shared" si="49"/>
        <v>0</v>
      </c>
      <c r="Y48" s="12">
        <f t="shared" si="49"/>
        <v>2</v>
      </c>
      <c r="Z48" s="12">
        <f t="shared" si="49"/>
        <v>0</v>
      </c>
      <c r="AA48">
        <f t="shared" si="49"/>
        <v>4</v>
      </c>
      <c r="AB48">
        <f t="shared" si="49"/>
        <v>0</v>
      </c>
      <c r="AC48" s="12">
        <f t="shared" si="49"/>
        <v>3</v>
      </c>
      <c r="AD48" s="12">
        <f t="shared" si="49"/>
        <v>0</v>
      </c>
      <c r="AE48">
        <f t="shared" si="49"/>
        <v>2</v>
      </c>
    </row>
    <row r="49" spans="1:31" hidden="1" x14ac:dyDescent="0.2">
      <c r="A49" t="s">
        <v>36</v>
      </c>
      <c r="C49" s="12">
        <f>COUNTIF(C5:C35, "OGG")</f>
        <v>2</v>
      </c>
      <c r="D49" s="12">
        <f t="shared" ref="D49:O49" si="50">COUNTIF(D5:D35, "OGG")</f>
        <v>0</v>
      </c>
      <c r="E49">
        <f t="shared" si="50"/>
        <v>0</v>
      </c>
      <c r="F49">
        <f t="shared" si="50"/>
        <v>0</v>
      </c>
      <c r="G49" s="12">
        <f t="shared" si="50"/>
        <v>3</v>
      </c>
      <c r="H49" s="12">
        <f t="shared" si="50"/>
        <v>0</v>
      </c>
      <c r="I49">
        <f t="shared" si="50"/>
        <v>0</v>
      </c>
      <c r="J49">
        <f t="shared" si="50"/>
        <v>0</v>
      </c>
      <c r="K49" s="12">
        <f t="shared" si="50"/>
        <v>0</v>
      </c>
      <c r="L49">
        <f t="shared" si="50"/>
        <v>0</v>
      </c>
      <c r="M49" s="12">
        <f t="shared" si="50"/>
        <v>0</v>
      </c>
      <c r="N49" s="12">
        <f t="shared" si="50"/>
        <v>0</v>
      </c>
      <c r="O49">
        <f t="shared" si="50"/>
        <v>0</v>
      </c>
      <c r="P49" s="12">
        <f>COUNTIF(P5:P35, "OGG")</f>
        <v>0</v>
      </c>
      <c r="Q49">
        <f t="shared" ref="Q49:V49" si="51">COUNTIF(Q5:Q35, "OGG")</f>
        <v>4</v>
      </c>
      <c r="R49">
        <f t="shared" si="51"/>
        <v>0</v>
      </c>
      <c r="S49">
        <f t="shared" si="51"/>
        <v>4</v>
      </c>
      <c r="T49">
        <f t="shared" si="51"/>
        <v>0</v>
      </c>
      <c r="U49">
        <f t="shared" si="51"/>
        <v>0</v>
      </c>
      <c r="V49" s="12">
        <f t="shared" si="51"/>
        <v>3</v>
      </c>
      <c r="W49" s="12">
        <f>COUNTIF(W5:W35, "OGG")</f>
        <v>0</v>
      </c>
      <c r="X49" s="12">
        <f t="shared" ref="X49:Z49" si="52">COUNTIF(X5:X35, "OGG")</f>
        <v>0</v>
      </c>
      <c r="Y49" s="12">
        <f t="shared" si="52"/>
        <v>0</v>
      </c>
      <c r="Z49" s="12">
        <f t="shared" si="52"/>
        <v>0</v>
      </c>
      <c r="AA49">
        <f>COUNTIF(AA5:AA35, "OGG")</f>
        <v>0</v>
      </c>
      <c r="AB49">
        <f t="shared" ref="AB49:AE49" si="53">COUNTIF(AB5:AB35, "OGG")</f>
        <v>0</v>
      </c>
      <c r="AC49" s="12">
        <f t="shared" si="53"/>
        <v>2</v>
      </c>
      <c r="AD49" s="12">
        <f t="shared" si="53"/>
        <v>0</v>
      </c>
      <c r="AE49">
        <f t="shared" si="53"/>
        <v>2</v>
      </c>
    </row>
    <row r="50" spans="1:31" hidden="1" x14ac:dyDescent="0.2">
      <c r="A50" t="s">
        <v>26</v>
      </c>
      <c r="C50" s="12">
        <f>COUNTIF(C5:C35, "PAS")</f>
        <v>0</v>
      </c>
      <c r="D50" s="12">
        <f t="shared" ref="D50:O50" si="54">COUNTIF(D5:D35, "PAS")</f>
        <v>0</v>
      </c>
      <c r="E50">
        <f t="shared" si="54"/>
        <v>1</v>
      </c>
      <c r="F50">
        <f t="shared" si="54"/>
        <v>0</v>
      </c>
      <c r="G50" s="12">
        <f t="shared" si="54"/>
        <v>2</v>
      </c>
      <c r="H50" s="12">
        <f t="shared" si="54"/>
        <v>0</v>
      </c>
      <c r="I50">
        <f t="shared" si="54"/>
        <v>0</v>
      </c>
      <c r="J50">
        <f t="shared" si="54"/>
        <v>0</v>
      </c>
      <c r="K50" s="12">
        <f t="shared" si="54"/>
        <v>2</v>
      </c>
      <c r="L50">
        <f t="shared" si="54"/>
        <v>1</v>
      </c>
      <c r="M50" s="12">
        <f t="shared" si="54"/>
        <v>0</v>
      </c>
      <c r="N50" s="12">
        <f t="shared" si="54"/>
        <v>0</v>
      </c>
      <c r="O50">
        <f t="shared" si="54"/>
        <v>0</v>
      </c>
      <c r="P50" s="12">
        <f>COUNTIF(P5:P35, "PAS")</f>
        <v>2</v>
      </c>
      <c r="Q50">
        <f t="shared" ref="Q50:V50" si="55">COUNTIF(Q5:Q35, "PAS")</f>
        <v>1</v>
      </c>
      <c r="R50">
        <f t="shared" si="55"/>
        <v>0</v>
      </c>
      <c r="S50">
        <f t="shared" si="55"/>
        <v>1</v>
      </c>
      <c r="T50">
        <f t="shared" si="55"/>
        <v>0</v>
      </c>
      <c r="U50">
        <f t="shared" si="55"/>
        <v>0</v>
      </c>
      <c r="V50" s="12">
        <f t="shared" si="55"/>
        <v>2</v>
      </c>
      <c r="W50" s="12">
        <f>COUNTIF(W5:W35, "PAS")</f>
        <v>1</v>
      </c>
      <c r="X50" s="12">
        <f t="shared" ref="X50:Z50" si="56">COUNTIF(X5:X35, "PAS")</f>
        <v>1</v>
      </c>
      <c r="Y50" s="12">
        <f t="shared" si="56"/>
        <v>0</v>
      </c>
      <c r="Z50" s="12">
        <f t="shared" si="56"/>
        <v>0</v>
      </c>
      <c r="AA50">
        <f>COUNTIF(AA5:AA35, "PAS")</f>
        <v>1</v>
      </c>
      <c r="AB50">
        <f t="shared" ref="AB50:AE50" si="57">COUNTIF(AB5:AB35, "PAS")</f>
        <v>0</v>
      </c>
      <c r="AC50" s="12">
        <f t="shared" si="57"/>
        <v>2</v>
      </c>
      <c r="AD50" s="12">
        <f t="shared" si="57"/>
        <v>0</v>
      </c>
      <c r="AE50">
        <f t="shared" si="57"/>
        <v>4</v>
      </c>
    </row>
    <row r="51" spans="1:31" hidden="1" x14ac:dyDescent="0.2">
      <c r="A51" t="s">
        <v>30</v>
      </c>
      <c r="C51" s="12">
        <f>COUNTIF(C5:C35, "RUS")</f>
        <v>0</v>
      </c>
      <c r="D51" s="12">
        <f t="shared" ref="D51:O51" si="58">COUNTIF(D5:D35, "RUS")</f>
        <v>0</v>
      </c>
      <c r="E51">
        <f t="shared" si="58"/>
        <v>4</v>
      </c>
      <c r="F51">
        <f t="shared" si="58"/>
        <v>0</v>
      </c>
      <c r="G51" s="12">
        <f t="shared" si="58"/>
        <v>1</v>
      </c>
      <c r="H51" s="12">
        <f t="shared" si="58"/>
        <v>0</v>
      </c>
      <c r="I51">
        <f t="shared" si="58"/>
        <v>0</v>
      </c>
      <c r="J51">
        <f t="shared" si="58"/>
        <v>0</v>
      </c>
      <c r="K51" s="12">
        <f t="shared" si="58"/>
        <v>0</v>
      </c>
      <c r="L51">
        <f t="shared" si="58"/>
        <v>0</v>
      </c>
      <c r="M51" s="12">
        <f t="shared" si="58"/>
        <v>0</v>
      </c>
      <c r="N51" s="12">
        <f t="shared" si="58"/>
        <v>0</v>
      </c>
      <c r="O51">
        <f t="shared" si="58"/>
        <v>0</v>
      </c>
      <c r="P51" s="12">
        <f>COUNTIF(P5:P35, "RUS")</f>
        <v>0</v>
      </c>
      <c r="Q51">
        <f t="shared" ref="Q51:V51" si="59">COUNTIF(Q5:Q35, "RUS")</f>
        <v>0</v>
      </c>
      <c r="R51">
        <f t="shared" si="59"/>
        <v>7</v>
      </c>
      <c r="S51">
        <f t="shared" si="59"/>
        <v>0</v>
      </c>
      <c r="T51">
        <f t="shared" si="59"/>
        <v>0</v>
      </c>
      <c r="U51">
        <f t="shared" si="59"/>
        <v>0</v>
      </c>
      <c r="V51" s="12">
        <f t="shared" si="59"/>
        <v>0</v>
      </c>
      <c r="W51" s="12">
        <f>COUNTIF(W5:W35, "RUS")</f>
        <v>0</v>
      </c>
      <c r="X51" s="12">
        <f t="shared" ref="X51:Z51" si="60">COUNTIF(X5:X35, "RUS")</f>
        <v>0</v>
      </c>
      <c r="Y51" s="12">
        <f t="shared" si="60"/>
        <v>0</v>
      </c>
      <c r="Z51" s="12">
        <f t="shared" si="60"/>
        <v>0</v>
      </c>
      <c r="AA51">
        <f>COUNTIF(AA5:AA35, "RUS")</f>
        <v>2</v>
      </c>
      <c r="AB51">
        <f t="shared" ref="AB51:AE51" si="61">COUNTIF(AB5:AB35, "RUS")</f>
        <v>0</v>
      </c>
      <c r="AC51" s="12">
        <f t="shared" si="61"/>
        <v>0</v>
      </c>
      <c r="AD51" s="12">
        <f t="shared" si="61"/>
        <v>0</v>
      </c>
      <c r="AE51">
        <f t="shared" si="61"/>
        <v>0</v>
      </c>
    </row>
    <row r="52" spans="1:31" hidden="1" x14ac:dyDescent="0.2">
      <c r="A52" t="s">
        <v>35</v>
      </c>
      <c r="C52" s="12">
        <f>COUNTIF(C5:C35, "RUZ")</f>
        <v>0</v>
      </c>
      <c r="D52" s="12">
        <f t="shared" ref="D52:O52" si="62">COUNTIF(D5:D35, "RUZ")</f>
        <v>0</v>
      </c>
      <c r="E52">
        <f t="shared" si="62"/>
        <v>1</v>
      </c>
      <c r="F52">
        <f t="shared" si="62"/>
        <v>0</v>
      </c>
      <c r="G52" s="12">
        <f t="shared" si="62"/>
        <v>4</v>
      </c>
      <c r="H52" s="12">
        <f t="shared" si="62"/>
        <v>0</v>
      </c>
      <c r="I52">
        <f t="shared" si="62"/>
        <v>0</v>
      </c>
      <c r="J52">
        <f t="shared" si="62"/>
        <v>0</v>
      </c>
      <c r="K52" s="12">
        <f t="shared" si="62"/>
        <v>2</v>
      </c>
      <c r="L52">
        <f t="shared" si="62"/>
        <v>1</v>
      </c>
      <c r="M52" s="12">
        <f t="shared" si="62"/>
        <v>0</v>
      </c>
      <c r="N52" s="12">
        <f t="shared" si="62"/>
        <v>0</v>
      </c>
      <c r="O52">
        <f t="shared" si="62"/>
        <v>0</v>
      </c>
      <c r="P52" s="12">
        <f>COUNTIF(P5:P35, "RUZ")</f>
        <v>0</v>
      </c>
      <c r="Q52">
        <f t="shared" ref="Q52:V52" si="63">COUNTIF(Q5:Q35, "RUZ")</f>
        <v>3</v>
      </c>
      <c r="R52">
        <f t="shared" si="63"/>
        <v>0</v>
      </c>
      <c r="S52">
        <f t="shared" si="63"/>
        <v>2</v>
      </c>
      <c r="T52">
        <f t="shared" si="63"/>
        <v>0</v>
      </c>
      <c r="U52">
        <f t="shared" si="63"/>
        <v>0</v>
      </c>
      <c r="V52" s="12">
        <f t="shared" si="63"/>
        <v>4</v>
      </c>
      <c r="W52" s="12">
        <f>COUNTIF(W5:W35, "RUZ")</f>
        <v>0</v>
      </c>
      <c r="X52" s="12">
        <f t="shared" ref="X52:Z52" si="64">COUNTIF(X5:X35, "RUZ")</f>
        <v>0</v>
      </c>
      <c r="Y52" s="12">
        <f t="shared" si="64"/>
        <v>0</v>
      </c>
      <c r="Z52" s="12">
        <f t="shared" si="64"/>
        <v>0</v>
      </c>
      <c r="AA52">
        <f>COUNTIF(AA5:AA35, "RUZ")</f>
        <v>2</v>
      </c>
      <c r="AB52">
        <f t="shared" ref="AB52:AE52" si="65">COUNTIF(AB5:AB35, "RUZ")</f>
        <v>0</v>
      </c>
      <c r="AC52" s="12">
        <f t="shared" si="65"/>
        <v>3</v>
      </c>
      <c r="AD52" s="12">
        <f t="shared" si="65"/>
        <v>0</v>
      </c>
      <c r="AE52">
        <f t="shared" si="65"/>
        <v>2</v>
      </c>
    </row>
    <row r="53" spans="1:31" hidden="1" x14ac:dyDescent="0.2">
      <c r="A53" t="s">
        <v>41</v>
      </c>
      <c r="C53" s="12">
        <f>COUNTIF(C5:C35, "SAN")</f>
        <v>0</v>
      </c>
      <c r="D53" s="12">
        <f t="shared" ref="D53:O53" si="66">COUNTIF(D5:D35, "SAN")</f>
        <v>0</v>
      </c>
      <c r="E53">
        <f t="shared" si="66"/>
        <v>0</v>
      </c>
      <c r="F53">
        <f t="shared" si="66"/>
        <v>0</v>
      </c>
      <c r="G53" s="12">
        <f t="shared" si="66"/>
        <v>0</v>
      </c>
      <c r="H53" s="12">
        <f t="shared" si="66"/>
        <v>0</v>
      </c>
      <c r="I53">
        <f t="shared" si="66"/>
        <v>1</v>
      </c>
      <c r="J53">
        <f t="shared" si="66"/>
        <v>0</v>
      </c>
      <c r="K53" s="12">
        <f t="shared" si="66"/>
        <v>0</v>
      </c>
      <c r="L53">
        <f t="shared" si="66"/>
        <v>0</v>
      </c>
      <c r="M53" s="12">
        <f t="shared" si="66"/>
        <v>0</v>
      </c>
      <c r="N53" s="12">
        <f t="shared" si="66"/>
        <v>2</v>
      </c>
      <c r="O53">
        <f t="shared" si="66"/>
        <v>0</v>
      </c>
      <c r="P53" s="12">
        <f>COUNTIF(P5:P35, "SAN")</f>
        <v>0</v>
      </c>
      <c r="Q53">
        <f t="shared" ref="Q53:V53" si="67">COUNTIF(Q5:Q35, "SAN")</f>
        <v>0</v>
      </c>
      <c r="R53">
        <f t="shared" si="67"/>
        <v>0</v>
      </c>
      <c r="S53">
        <f t="shared" si="67"/>
        <v>0</v>
      </c>
      <c r="T53">
        <f t="shared" si="67"/>
        <v>0</v>
      </c>
      <c r="U53">
        <f t="shared" si="67"/>
        <v>0</v>
      </c>
      <c r="V53" s="12">
        <f t="shared" si="67"/>
        <v>0</v>
      </c>
      <c r="W53" s="12">
        <f>COUNTIF(W5:W35, "SAN")</f>
        <v>0</v>
      </c>
      <c r="X53" s="12">
        <f t="shared" ref="X53:Z53" si="68">COUNTIF(X5:X35, "SAN")</f>
        <v>4</v>
      </c>
      <c r="Y53" s="12">
        <f t="shared" si="68"/>
        <v>0</v>
      </c>
      <c r="Z53" s="12">
        <f t="shared" si="68"/>
        <v>0</v>
      </c>
      <c r="AA53">
        <f>COUNTIF(AA5:AA35, "SAN")</f>
        <v>4</v>
      </c>
      <c r="AB53">
        <f t="shared" ref="AB53:AE53" si="69">COUNTIF(AB5:AB35, "SAN")</f>
        <v>0</v>
      </c>
      <c r="AC53" s="12">
        <f t="shared" si="69"/>
        <v>0</v>
      </c>
      <c r="AD53" s="12">
        <f t="shared" si="69"/>
        <v>0</v>
      </c>
      <c r="AE53">
        <f t="shared" si="69"/>
        <v>0</v>
      </c>
    </row>
    <row r="54" spans="1:31" hidden="1" x14ac:dyDescent="0.2">
      <c r="A54" t="s">
        <v>37</v>
      </c>
      <c r="C54" s="12">
        <f>COUNTIF(C5:C35, "SES")</f>
        <v>1</v>
      </c>
      <c r="D54" s="12">
        <f t="shared" ref="D54:O54" si="70">COUNTIF(D5:D35, "SES")</f>
        <v>0</v>
      </c>
      <c r="E54">
        <f t="shared" si="70"/>
        <v>3</v>
      </c>
      <c r="F54">
        <f t="shared" si="70"/>
        <v>0</v>
      </c>
      <c r="G54" s="12">
        <f t="shared" si="70"/>
        <v>0</v>
      </c>
      <c r="H54" s="12">
        <f t="shared" si="70"/>
        <v>0</v>
      </c>
      <c r="I54">
        <f t="shared" si="70"/>
        <v>0</v>
      </c>
      <c r="J54">
        <f t="shared" si="70"/>
        <v>0</v>
      </c>
      <c r="K54" s="12">
        <f t="shared" si="70"/>
        <v>0</v>
      </c>
      <c r="L54">
        <f t="shared" si="70"/>
        <v>1</v>
      </c>
      <c r="M54" s="12">
        <f t="shared" si="70"/>
        <v>0</v>
      </c>
      <c r="N54" s="12">
        <f t="shared" si="70"/>
        <v>0</v>
      </c>
      <c r="O54">
        <f t="shared" si="70"/>
        <v>1</v>
      </c>
      <c r="P54" s="12">
        <f>COUNTIF(P5:P35, "SES")</f>
        <v>0</v>
      </c>
      <c r="Q54">
        <f t="shared" ref="Q54:V54" si="71">COUNTIF(Q5:Q35, "SES")</f>
        <v>0</v>
      </c>
      <c r="R54">
        <f t="shared" si="71"/>
        <v>0</v>
      </c>
      <c r="S54">
        <f t="shared" si="71"/>
        <v>6</v>
      </c>
      <c r="T54">
        <f t="shared" si="71"/>
        <v>0</v>
      </c>
      <c r="U54">
        <f t="shared" si="71"/>
        <v>0</v>
      </c>
      <c r="V54" s="12">
        <f t="shared" si="71"/>
        <v>1</v>
      </c>
      <c r="W54" s="12">
        <f>COUNTIF(W5:W35, "SES")</f>
        <v>0</v>
      </c>
      <c r="X54" s="12">
        <f t="shared" ref="X54:Z54" si="72">COUNTIF(X5:X35, "SES")</f>
        <v>1</v>
      </c>
      <c r="Y54" s="12">
        <f t="shared" si="72"/>
        <v>0</v>
      </c>
      <c r="Z54" s="12">
        <f t="shared" si="72"/>
        <v>0</v>
      </c>
      <c r="AA54">
        <f>COUNTIF(AA5:AA35, "SES")</f>
        <v>0</v>
      </c>
      <c r="AB54">
        <f t="shared" ref="AB54:AE54" si="73">COUNTIF(AB5:AB35, "SES")</f>
        <v>0</v>
      </c>
      <c r="AC54" s="12">
        <f t="shared" si="73"/>
        <v>2</v>
      </c>
      <c r="AD54" s="12">
        <f t="shared" si="73"/>
        <v>0</v>
      </c>
      <c r="AE54">
        <f t="shared" si="73"/>
        <v>3</v>
      </c>
    </row>
    <row r="55" spans="1:31" hidden="1" x14ac:dyDescent="0.2"/>
    <row r="56" spans="1:31" ht="16" thickBot="1" x14ac:dyDescent="0.25"/>
    <row r="57" spans="1:31" ht="16" thickBot="1" x14ac:dyDescent="0.25">
      <c r="B57" s="142" t="s">
        <v>44</v>
      </c>
      <c r="C57" s="143"/>
      <c r="D57" s="142" t="s">
        <v>2</v>
      </c>
      <c r="E57" s="143"/>
      <c r="F57" s="142" t="s">
        <v>3</v>
      </c>
      <c r="G57" s="143"/>
      <c r="H57" s="142" t="s">
        <v>4</v>
      </c>
      <c r="I57" s="143"/>
      <c r="J57" s="150" t="s">
        <v>5</v>
      </c>
      <c r="K57" s="150" t="s">
        <v>6</v>
      </c>
      <c r="L57" s="158" t="s">
        <v>7</v>
      </c>
      <c r="M57" s="159"/>
      <c r="N57" s="150" t="s">
        <v>8</v>
      </c>
      <c r="O57" s="150" t="s">
        <v>9</v>
      </c>
      <c r="P57" s="142" t="s">
        <v>45</v>
      </c>
      <c r="Q57" s="156"/>
      <c r="R57" s="156"/>
      <c r="S57" s="156"/>
      <c r="T57" s="143"/>
      <c r="U57" s="138" t="s">
        <v>13</v>
      </c>
      <c r="V57" s="139"/>
      <c r="W57" s="15" t="s">
        <v>14</v>
      </c>
      <c r="AA57" s="130" t="s">
        <v>58</v>
      </c>
      <c r="AB57" s="131"/>
      <c r="AC57" s="131"/>
      <c r="AD57" s="132"/>
    </row>
    <row r="58" spans="1:31" ht="16" thickBot="1" x14ac:dyDescent="0.25">
      <c r="B58" s="173"/>
      <c r="C58" s="175"/>
      <c r="D58" s="173"/>
      <c r="E58" s="175"/>
      <c r="F58" s="173"/>
      <c r="G58" s="175"/>
      <c r="H58" s="173"/>
      <c r="I58" s="175"/>
      <c r="J58" s="178"/>
      <c r="K58" s="178"/>
      <c r="L58" s="179"/>
      <c r="M58" s="180"/>
      <c r="N58" s="178"/>
      <c r="O58" s="178"/>
      <c r="P58" s="173"/>
      <c r="Q58" s="174"/>
      <c r="R58" s="174"/>
      <c r="S58" s="174"/>
      <c r="T58" s="175"/>
      <c r="U58" s="176"/>
      <c r="V58" s="177"/>
      <c r="W58" s="18" t="s">
        <v>17</v>
      </c>
      <c r="AA58" s="133" t="s">
        <v>59</v>
      </c>
      <c r="AB58" s="134"/>
      <c r="AC58" s="135" t="s">
        <v>60</v>
      </c>
      <c r="AD58" s="136"/>
    </row>
    <row r="59" spans="1:31" ht="16" thickBot="1" x14ac:dyDescent="0.25">
      <c r="A59" s="13" t="s">
        <v>34</v>
      </c>
      <c r="B59" s="137">
        <f t="shared" ref="B59:B74" si="74">C39+D39+AA39+AB39+O59</f>
        <v>4</v>
      </c>
      <c r="C59" s="137"/>
      <c r="D59" s="137">
        <f>E39+F39</f>
        <v>1</v>
      </c>
      <c r="E59" s="137"/>
      <c r="F59" s="137">
        <f>G39+H39</f>
        <v>2</v>
      </c>
      <c r="G59" s="137"/>
      <c r="H59" s="137">
        <f>I39+J39</f>
        <v>0</v>
      </c>
      <c r="I59" s="137"/>
      <c r="J59" s="14">
        <f>K39</f>
        <v>3</v>
      </c>
      <c r="K59" s="14">
        <f>L39</f>
        <v>1</v>
      </c>
      <c r="L59" s="137">
        <f>M39+N39</f>
        <v>0</v>
      </c>
      <c r="M59" s="137"/>
      <c r="N59" s="14">
        <f>O39</f>
        <v>0</v>
      </c>
      <c r="O59" s="14">
        <f>P39</f>
        <v>1</v>
      </c>
      <c r="P59" s="137">
        <f>SUM(Q39:Z39)</f>
        <v>6</v>
      </c>
      <c r="Q59" s="137"/>
      <c r="R59" s="137"/>
      <c r="S59" s="137"/>
      <c r="T59" s="137"/>
      <c r="U59" s="137">
        <f>AC39+AD39</f>
        <v>3</v>
      </c>
      <c r="V59" s="137"/>
      <c r="W59" s="14">
        <f>AE39</f>
        <v>2</v>
      </c>
      <c r="Z59" s="31" t="s">
        <v>32</v>
      </c>
      <c r="AA59" s="23"/>
      <c r="AB59" s="24"/>
      <c r="AC59" s="32"/>
      <c r="AD59" s="33"/>
    </row>
    <row r="60" spans="1:31" ht="16" thickBot="1" x14ac:dyDescent="0.25">
      <c r="A60" s="13" t="s">
        <v>32</v>
      </c>
      <c r="B60" s="181">
        <f>C40+D40+AA40+AB40+O60</f>
        <v>6</v>
      </c>
      <c r="C60" s="182"/>
      <c r="D60" s="137">
        <f>E40+F40</f>
        <v>3</v>
      </c>
      <c r="E60" s="137"/>
      <c r="F60" s="137">
        <f>G40+H40</f>
        <v>1</v>
      </c>
      <c r="G60" s="137"/>
      <c r="H60" s="137">
        <f>I40+J40</f>
        <v>0</v>
      </c>
      <c r="I60" s="137"/>
      <c r="J60" s="14">
        <f>K40</f>
        <v>2</v>
      </c>
      <c r="K60" s="14">
        <f>L40</f>
        <v>3</v>
      </c>
      <c r="L60" s="137">
        <f>M40+N40</f>
        <v>0</v>
      </c>
      <c r="M60" s="137"/>
      <c r="N60" s="14">
        <f>O40</f>
        <v>0</v>
      </c>
      <c r="O60" s="14">
        <f>P40</f>
        <v>0</v>
      </c>
      <c r="P60" s="137">
        <f>SUM(Q40:Z40)</f>
        <v>7</v>
      </c>
      <c r="Q60" s="137"/>
      <c r="R60" s="137"/>
      <c r="S60" s="137"/>
      <c r="T60" s="137"/>
      <c r="U60" s="137">
        <f>AC40+AD40</f>
        <v>3</v>
      </c>
      <c r="V60" s="137"/>
      <c r="W60" s="14">
        <f>AE40</f>
        <v>3</v>
      </c>
      <c r="Z60" s="13" t="s">
        <v>34</v>
      </c>
      <c r="AA60" s="23"/>
      <c r="AB60" s="24"/>
      <c r="AC60" s="29"/>
      <c r="AD60" s="30"/>
    </row>
    <row r="61" spans="1:31" ht="16" thickBot="1" x14ac:dyDescent="0.25">
      <c r="A61" s="13" t="s">
        <v>33</v>
      </c>
      <c r="B61" s="137">
        <f t="shared" si="74"/>
        <v>0</v>
      </c>
      <c r="C61" s="137"/>
      <c r="D61" s="137">
        <f t="shared" ref="D61:D74" si="75">E41+F41</f>
        <v>0</v>
      </c>
      <c r="E61" s="137"/>
      <c r="F61" s="137">
        <f t="shared" ref="F61:F74" si="76">G41+H41</f>
        <v>0</v>
      </c>
      <c r="G61" s="137"/>
      <c r="H61" s="137">
        <f t="shared" ref="H61:H74" si="77">I41+J41</f>
        <v>0</v>
      </c>
      <c r="I61" s="137"/>
      <c r="J61" s="14">
        <f t="shared" ref="J61:K61" si="78">K41</f>
        <v>0</v>
      </c>
      <c r="K61" s="14">
        <f t="shared" si="78"/>
        <v>0</v>
      </c>
      <c r="L61" s="137">
        <f t="shared" ref="L61:L74" si="79">M41+N41</f>
        <v>0</v>
      </c>
      <c r="M61" s="137"/>
      <c r="N61" s="14">
        <f t="shared" ref="N61:O61" si="80">O41</f>
        <v>0</v>
      </c>
      <c r="O61" s="14">
        <f t="shared" si="80"/>
        <v>0</v>
      </c>
      <c r="P61" s="137">
        <f t="shared" ref="P61:P74" si="81">SUM(Q41:Z41)</f>
        <v>0</v>
      </c>
      <c r="Q61" s="137"/>
      <c r="R61" s="137"/>
      <c r="S61" s="137"/>
      <c r="T61" s="137"/>
      <c r="U61" s="137">
        <f t="shared" ref="U61:U74" si="82">AC41+AD41</f>
        <v>0</v>
      </c>
      <c r="V61" s="137"/>
      <c r="W61" s="14">
        <f t="shared" ref="W61:W74" si="83">AE41</f>
        <v>0</v>
      </c>
      <c r="Z61" s="13" t="s">
        <v>38</v>
      </c>
      <c r="AA61" s="23"/>
      <c r="AB61" s="24"/>
      <c r="AC61" s="25"/>
      <c r="AD61" s="26"/>
    </row>
    <row r="62" spans="1:31" ht="16" thickBot="1" x14ac:dyDescent="0.25">
      <c r="A62" s="13" t="s">
        <v>38</v>
      </c>
      <c r="B62" s="137">
        <f t="shared" si="74"/>
        <v>3</v>
      </c>
      <c r="C62" s="137"/>
      <c r="D62" s="137">
        <f t="shared" si="75"/>
        <v>1</v>
      </c>
      <c r="E62" s="137"/>
      <c r="F62" s="137">
        <f t="shared" si="76"/>
        <v>1</v>
      </c>
      <c r="G62" s="137"/>
      <c r="H62" s="137">
        <f t="shared" si="77"/>
        <v>0</v>
      </c>
      <c r="I62" s="137"/>
      <c r="J62" s="14">
        <f t="shared" ref="J62:K62" si="84">K42</f>
        <v>0</v>
      </c>
      <c r="K62" s="14">
        <f t="shared" si="84"/>
        <v>0</v>
      </c>
      <c r="L62" s="137">
        <f t="shared" si="79"/>
        <v>0</v>
      </c>
      <c r="M62" s="137"/>
      <c r="N62" s="14">
        <f t="shared" ref="N62:O62" si="85">O42</f>
        <v>0</v>
      </c>
      <c r="O62" s="14">
        <f t="shared" si="85"/>
        <v>0</v>
      </c>
      <c r="P62" s="137">
        <f t="shared" si="81"/>
        <v>10</v>
      </c>
      <c r="Q62" s="137"/>
      <c r="R62" s="137"/>
      <c r="S62" s="137"/>
      <c r="T62" s="137"/>
      <c r="U62" s="137">
        <f t="shared" si="82"/>
        <v>3</v>
      </c>
      <c r="V62" s="137"/>
      <c r="W62" s="14">
        <f t="shared" si="83"/>
        <v>2</v>
      </c>
      <c r="Z62" s="13" t="s">
        <v>27</v>
      </c>
      <c r="AA62" s="23"/>
      <c r="AB62" s="24"/>
      <c r="AC62" s="25"/>
      <c r="AD62" s="26"/>
    </row>
    <row r="63" spans="1:31" ht="16" thickBot="1" x14ac:dyDescent="0.25">
      <c r="A63" s="13" t="s">
        <v>27</v>
      </c>
      <c r="B63" s="137">
        <f t="shared" si="74"/>
        <v>3</v>
      </c>
      <c r="C63" s="137"/>
      <c r="D63" s="137">
        <f t="shared" si="75"/>
        <v>1</v>
      </c>
      <c r="E63" s="137"/>
      <c r="F63" s="137">
        <f t="shared" si="76"/>
        <v>3</v>
      </c>
      <c r="G63" s="137"/>
      <c r="H63" s="137">
        <f t="shared" si="77"/>
        <v>0</v>
      </c>
      <c r="I63" s="137"/>
      <c r="J63" s="14">
        <f t="shared" ref="J63:K63" si="86">K43</f>
        <v>0</v>
      </c>
      <c r="K63" s="14">
        <f t="shared" si="86"/>
        <v>2</v>
      </c>
      <c r="L63" s="137">
        <f t="shared" si="79"/>
        <v>0</v>
      </c>
      <c r="M63" s="137"/>
      <c r="N63" s="14">
        <f t="shared" ref="N63:O63" si="87">O43</f>
        <v>0</v>
      </c>
      <c r="O63" s="14">
        <f t="shared" si="87"/>
        <v>0</v>
      </c>
      <c r="P63" s="137">
        <f t="shared" si="81"/>
        <v>8</v>
      </c>
      <c r="Q63" s="137"/>
      <c r="R63" s="137"/>
      <c r="S63" s="137"/>
      <c r="T63" s="137"/>
      <c r="U63" s="137">
        <f t="shared" si="82"/>
        <v>2</v>
      </c>
      <c r="V63" s="137"/>
      <c r="W63" s="14">
        <f t="shared" si="83"/>
        <v>3</v>
      </c>
      <c r="Z63" s="13" t="s">
        <v>25</v>
      </c>
      <c r="AA63" s="23"/>
      <c r="AB63" s="24"/>
      <c r="AC63" s="25"/>
      <c r="AD63" s="26"/>
    </row>
    <row r="64" spans="1:31" ht="16" thickBot="1" x14ac:dyDescent="0.25">
      <c r="A64" s="13" t="s">
        <v>25</v>
      </c>
      <c r="B64" s="137">
        <f t="shared" si="74"/>
        <v>3</v>
      </c>
      <c r="C64" s="137"/>
      <c r="D64" s="137">
        <f t="shared" si="75"/>
        <v>1</v>
      </c>
      <c r="E64" s="137"/>
      <c r="F64" s="137">
        <f t="shared" si="76"/>
        <v>2</v>
      </c>
      <c r="G64" s="137"/>
      <c r="H64" s="137">
        <f t="shared" si="77"/>
        <v>0</v>
      </c>
      <c r="I64" s="137"/>
      <c r="J64" s="14">
        <f t="shared" ref="J64:K64" si="88">K44</f>
        <v>2</v>
      </c>
      <c r="K64" s="14">
        <f t="shared" si="88"/>
        <v>3</v>
      </c>
      <c r="L64" s="137">
        <f t="shared" si="79"/>
        <v>0</v>
      </c>
      <c r="M64" s="137"/>
      <c r="N64" s="14">
        <f t="shared" ref="N64:O64" si="89">O44</f>
        <v>0</v>
      </c>
      <c r="O64" s="14">
        <f t="shared" si="89"/>
        <v>1</v>
      </c>
      <c r="P64" s="137">
        <f t="shared" si="81"/>
        <v>12</v>
      </c>
      <c r="Q64" s="137"/>
      <c r="R64" s="137"/>
      <c r="S64" s="137"/>
      <c r="T64" s="137"/>
      <c r="U64" s="137">
        <f t="shared" si="82"/>
        <v>3</v>
      </c>
      <c r="V64" s="137"/>
      <c r="W64" s="14">
        <f t="shared" si="83"/>
        <v>3</v>
      </c>
      <c r="Z64" s="13" t="s">
        <v>39</v>
      </c>
      <c r="AA64" s="23"/>
      <c r="AB64" s="24"/>
      <c r="AC64" s="25"/>
      <c r="AD64" s="26"/>
    </row>
    <row r="65" spans="1:30" ht="16" thickBot="1" x14ac:dyDescent="0.25">
      <c r="A65" s="13" t="s">
        <v>39</v>
      </c>
      <c r="B65" s="137">
        <f t="shared" si="74"/>
        <v>4</v>
      </c>
      <c r="C65" s="137"/>
      <c r="D65" s="137">
        <f t="shared" si="75"/>
        <v>3</v>
      </c>
      <c r="E65" s="137"/>
      <c r="F65" s="137">
        <f t="shared" si="76"/>
        <v>2</v>
      </c>
      <c r="G65" s="137"/>
      <c r="H65" s="137">
        <f t="shared" si="77"/>
        <v>0</v>
      </c>
      <c r="I65" s="137"/>
      <c r="J65" s="14">
        <f t="shared" ref="J65:K65" si="90">K45</f>
        <v>4</v>
      </c>
      <c r="K65" s="14">
        <f t="shared" si="90"/>
        <v>4</v>
      </c>
      <c r="L65" s="137">
        <f t="shared" si="79"/>
        <v>0</v>
      </c>
      <c r="M65" s="137"/>
      <c r="N65" s="14">
        <f t="shared" ref="N65:O65" si="91">O45</f>
        <v>0</v>
      </c>
      <c r="O65" s="14">
        <f t="shared" si="91"/>
        <v>0</v>
      </c>
      <c r="P65" s="137">
        <f t="shared" si="81"/>
        <v>4</v>
      </c>
      <c r="Q65" s="137"/>
      <c r="R65" s="137"/>
      <c r="S65" s="137"/>
      <c r="T65" s="137"/>
      <c r="U65" s="137">
        <f t="shared" si="82"/>
        <v>0</v>
      </c>
      <c r="V65" s="137"/>
      <c r="W65" s="14">
        <f t="shared" si="83"/>
        <v>0</v>
      </c>
      <c r="Z65" s="13" t="s">
        <v>40</v>
      </c>
      <c r="AA65" s="23"/>
      <c r="AB65" s="24"/>
      <c r="AC65" s="25"/>
      <c r="AD65" s="26"/>
    </row>
    <row r="66" spans="1:30" ht="16" thickBot="1" x14ac:dyDescent="0.25">
      <c r="A66" s="13" t="s">
        <v>40</v>
      </c>
      <c r="B66" s="137">
        <f>C46+D46+AA46+AB46+O66</f>
        <v>4</v>
      </c>
      <c r="C66" s="137"/>
      <c r="D66" s="137">
        <f t="shared" si="75"/>
        <v>0</v>
      </c>
      <c r="E66" s="137"/>
      <c r="F66" s="137">
        <f t="shared" si="76"/>
        <v>4</v>
      </c>
      <c r="G66" s="137"/>
      <c r="H66" s="137">
        <f t="shared" si="77"/>
        <v>0</v>
      </c>
      <c r="I66" s="137"/>
      <c r="J66" s="14">
        <f>K46</f>
        <v>1</v>
      </c>
      <c r="K66" s="14">
        <f t="shared" ref="K66" si="92">L46</f>
        <v>0</v>
      </c>
      <c r="L66" s="137">
        <f t="shared" si="79"/>
        <v>0</v>
      </c>
      <c r="M66" s="137"/>
      <c r="N66" s="14">
        <f t="shared" ref="N66:O66" si="93">O46</f>
        <v>0</v>
      </c>
      <c r="O66" s="14">
        <f t="shared" si="93"/>
        <v>0</v>
      </c>
      <c r="P66" s="137">
        <f t="shared" si="81"/>
        <v>6</v>
      </c>
      <c r="Q66" s="137"/>
      <c r="R66" s="137"/>
      <c r="S66" s="137"/>
      <c r="T66" s="137"/>
      <c r="U66" s="137">
        <f t="shared" si="82"/>
        <v>3</v>
      </c>
      <c r="V66" s="137"/>
      <c r="W66" s="14">
        <f t="shared" si="83"/>
        <v>2</v>
      </c>
      <c r="Z66" s="13" t="s">
        <v>28</v>
      </c>
      <c r="AA66" s="23"/>
      <c r="AB66" s="24"/>
      <c r="AC66" s="25"/>
      <c r="AD66" s="26"/>
    </row>
    <row r="67" spans="1:30" ht="16" thickBot="1" x14ac:dyDescent="0.25">
      <c r="A67" s="13" t="s">
        <v>28</v>
      </c>
      <c r="B67" s="137">
        <f t="shared" si="74"/>
        <v>3</v>
      </c>
      <c r="C67" s="137"/>
      <c r="D67" s="137">
        <f t="shared" si="75"/>
        <v>1</v>
      </c>
      <c r="E67" s="137"/>
      <c r="F67" s="137">
        <f t="shared" si="76"/>
        <v>1</v>
      </c>
      <c r="G67" s="137"/>
      <c r="H67" s="137">
        <f t="shared" si="77"/>
        <v>0</v>
      </c>
      <c r="I67" s="137"/>
      <c r="J67" s="14">
        <f t="shared" ref="J67:K67" si="94">K47</f>
        <v>2</v>
      </c>
      <c r="K67" s="14">
        <f t="shared" si="94"/>
        <v>1</v>
      </c>
      <c r="L67" s="137">
        <f t="shared" si="79"/>
        <v>2</v>
      </c>
      <c r="M67" s="137"/>
      <c r="N67" s="14">
        <f t="shared" ref="N67:O67" si="95">O47</f>
        <v>1</v>
      </c>
      <c r="O67" s="14">
        <f t="shared" si="95"/>
        <v>0</v>
      </c>
      <c r="P67" s="137">
        <f t="shared" si="81"/>
        <v>4</v>
      </c>
      <c r="Q67" s="137"/>
      <c r="R67" s="137"/>
      <c r="S67" s="137"/>
      <c r="T67" s="137"/>
      <c r="U67" s="137">
        <f t="shared" si="82"/>
        <v>2</v>
      </c>
      <c r="V67" s="137"/>
      <c r="W67" s="14">
        <f t="shared" si="83"/>
        <v>3</v>
      </c>
      <c r="Z67" s="13" t="s">
        <v>36</v>
      </c>
      <c r="AA67" s="23"/>
      <c r="AB67" s="24"/>
      <c r="AC67" s="25"/>
      <c r="AD67" s="26"/>
    </row>
    <row r="68" spans="1:30" ht="16" thickBot="1" x14ac:dyDescent="0.25">
      <c r="A68" s="13" t="s">
        <v>71</v>
      </c>
      <c r="B68" s="137">
        <f>C48+D48+AA48+AB48+O68</f>
        <v>4</v>
      </c>
      <c r="C68" s="137"/>
      <c r="D68" s="137">
        <f t="shared" si="75"/>
        <v>0</v>
      </c>
      <c r="E68" s="137"/>
      <c r="F68" s="137">
        <f t="shared" si="76"/>
        <v>1</v>
      </c>
      <c r="G68" s="137"/>
      <c r="H68" s="137">
        <f t="shared" si="77"/>
        <v>0</v>
      </c>
      <c r="I68" s="137"/>
      <c r="J68" s="14">
        <f t="shared" ref="J68:K68" si="96">K48</f>
        <v>2</v>
      </c>
      <c r="K68" s="14">
        <f t="shared" si="96"/>
        <v>3</v>
      </c>
      <c r="L68" s="137">
        <f t="shared" si="79"/>
        <v>0</v>
      </c>
      <c r="M68" s="137"/>
      <c r="N68" s="14">
        <f t="shared" ref="N68:O68" si="97">O48</f>
        <v>0</v>
      </c>
      <c r="O68" s="14">
        <f t="shared" si="97"/>
        <v>0</v>
      </c>
      <c r="P68" s="137">
        <f t="shared" si="81"/>
        <v>11</v>
      </c>
      <c r="Q68" s="137"/>
      <c r="R68" s="137"/>
      <c r="S68" s="137"/>
      <c r="T68" s="137"/>
      <c r="U68" s="137">
        <f t="shared" si="82"/>
        <v>3</v>
      </c>
      <c r="V68" s="137"/>
      <c r="W68" s="14">
        <f t="shared" si="83"/>
        <v>2</v>
      </c>
      <c r="Z68" s="13" t="s">
        <v>26</v>
      </c>
      <c r="AA68" s="23"/>
      <c r="AB68" s="24"/>
      <c r="AC68" s="25"/>
      <c r="AD68" s="26"/>
    </row>
    <row r="69" spans="1:30" ht="16" thickBot="1" x14ac:dyDescent="0.25">
      <c r="A69" s="13" t="s">
        <v>36</v>
      </c>
      <c r="B69" s="137">
        <f t="shared" si="74"/>
        <v>2</v>
      </c>
      <c r="C69" s="137"/>
      <c r="D69" s="137">
        <f t="shared" si="75"/>
        <v>0</v>
      </c>
      <c r="E69" s="137"/>
      <c r="F69" s="137">
        <f t="shared" si="76"/>
        <v>3</v>
      </c>
      <c r="G69" s="137"/>
      <c r="H69" s="137">
        <f t="shared" si="77"/>
        <v>0</v>
      </c>
      <c r="I69" s="137"/>
      <c r="J69" s="14">
        <f t="shared" ref="J69:K69" si="98">K49</f>
        <v>0</v>
      </c>
      <c r="K69" s="14">
        <f t="shared" si="98"/>
        <v>0</v>
      </c>
      <c r="L69" s="137">
        <f t="shared" si="79"/>
        <v>0</v>
      </c>
      <c r="M69" s="137"/>
      <c r="N69" s="14">
        <f t="shared" ref="N69:O69" si="99">O49</f>
        <v>0</v>
      </c>
      <c r="O69" s="14">
        <f t="shared" si="99"/>
        <v>0</v>
      </c>
      <c r="P69" s="137">
        <f t="shared" si="81"/>
        <v>11</v>
      </c>
      <c r="Q69" s="137"/>
      <c r="R69" s="137"/>
      <c r="S69" s="137"/>
      <c r="T69" s="137"/>
      <c r="U69" s="137">
        <f t="shared" si="82"/>
        <v>2</v>
      </c>
      <c r="V69" s="137"/>
      <c r="W69" s="14">
        <f t="shared" si="83"/>
        <v>2</v>
      </c>
      <c r="Z69" s="13" t="s">
        <v>35</v>
      </c>
      <c r="AA69" s="23"/>
      <c r="AB69" s="24"/>
      <c r="AC69" s="25"/>
      <c r="AD69" s="26"/>
    </row>
    <row r="70" spans="1:30" ht="16" thickBot="1" x14ac:dyDescent="0.25">
      <c r="A70" s="13" t="s">
        <v>26</v>
      </c>
      <c r="B70" s="137">
        <f t="shared" si="74"/>
        <v>3</v>
      </c>
      <c r="C70" s="137"/>
      <c r="D70" s="137">
        <f t="shared" si="75"/>
        <v>1</v>
      </c>
      <c r="E70" s="137"/>
      <c r="F70" s="137">
        <f t="shared" si="76"/>
        <v>2</v>
      </c>
      <c r="G70" s="137"/>
      <c r="H70" s="137">
        <f t="shared" si="77"/>
        <v>0</v>
      </c>
      <c r="I70" s="137"/>
      <c r="J70" s="14">
        <f t="shared" ref="J70:K70" si="100">K50</f>
        <v>2</v>
      </c>
      <c r="K70" s="14">
        <f t="shared" si="100"/>
        <v>1</v>
      </c>
      <c r="L70" s="137">
        <f t="shared" si="79"/>
        <v>0</v>
      </c>
      <c r="M70" s="137"/>
      <c r="N70" s="14">
        <f t="shared" ref="N70:O70" si="101">O50</f>
        <v>0</v>
      </c>
      <c r="O70" s="14">
        <f t="shared" si="101"/>
        <v>2</v>
      </c>
      <c r="P70" s="137">
        <f t="shared" si="81"/>
        <v>6</v>
      </c>
      <c r="Q70" s="137"/>
      <c r="R70" s="137"/>
      <c r="S70" s="137"/>
      <c r="T70" s="137"/>
      <c r="U70" s="137">
        <f t="shared" si="82"/>
        <v>2</v>
      </c>
      <c r="V70" s="137"/>
      <c r="W70" s="14">
        <f t="shared" si="83"/>
        <v>4</v>
      </c>
      <c r="Z70" s="13" t="s">
        <v>37</v>
      </c>
      <c r="AA70" s="27"/>
      <c r="AB70" s="28"/>
      <c r="AC70" s="29"/>
      <c r="AD70" s="30"/>
    </row>
    <row r="71" spans="1:30" ht="16" thickBot="1" x14ac:dyDescent="0.25">
      <c r="A71" s="13" t="s">
        <v>30</v>
      </c>
      <c r="B71" s="137">
        <f t="shared" si="74"/>
        <v>2</v>
      </c>
      <c r="C71" s="137"/>
      <c r="D71" s="137">
        <f t="shared" si="75"/>
        <v>4</v>
      </c>
      <c r="E71" s="137"/>
      <c r="F71" s="137">
        <f t="shared" si="76"/>
        <v>1</v>
      </c>
      <c r="G71" s="137"/>
      <c r="H71" s="137">
        <f t="shared" si="77"/>
        <v>0</v>
      </c>
      <c r="I71" s="137"/>
      <c r="J71" s="14">
        <f t="shared" ref="J71:K71" si="102">K51</f>
        <v>0</v>
      </c>
      <c r="K71" s="14">
        <f t="shared" si="102"/>
        <v>0</v>
      </c>
      <c r="L71" s="137">
        <f t="shared" si="79"/>
        <v>0</v>
      </c>
      <c r="M71" s="137"/>
      <c r="N71" s="14">
        <f t="shared" ref="N71:O71" si="103">O51</f>
        <v>0</v>
      </c>
      <c r="O71" s="14">
        <f t="shared" si="103"/>
        <v>0</v>
      </c>
      <c r="P71" s="137">
        <f t="shared" si="81"/>
        <v>7</v>
      </c>
      <c r="Q71" s="137"/>
      <c r="R71" s="137"/>
      <c r="S71" s="137"/>
      <c r="T71" s="137"/>
      <c r="U71" s="137">
        <f t="shared" si="82"/>
        <v>0</v>
      </c>
      <c r="V71" s="137"/>
      <c r="W71" s="14">
        <f t="shared" si="83"/>
        <v>0</v>
      </c>
      <c r="Z71" s="34" t="s">
        <v>71</v>
      </c>
      <c r="AA71" s="27"/>
      <c r="AB71" s="28"/>
      <c r="AC71" s="29"/>
      <c r="AD71" s="30"/>
    </row>
    <row r="72" spans="1:30" x14ac:dyDescent="0.2">
      <c r="A72" s="13" t="s">
        <v>35</v>
      </c>
      <c r="B72" s="137">
        <f t="shared" si="74"/>
        <v>2</v>
      </c>
      <c r="C72" s="137"/>
      <c r="D72" s="137">
        <f t="shared" si="75"/>
        <v>1</v>
      </c>
      <c r="E72" s="137"/>
      <c r="F72" s="137">
        <f t="shared" si="76"/>
        <v>4</v>
      </c>
      <c r="G72" s="137"/>
      <c r="H72" s="137">
        <f t="shared" si="77"/>
        <v>0</v>
      </c>
      <c r="I72" s="137"/>
      <c r="J72" s="14">
        <f t="shared" ref="J72:K72" si="104">K52</f>
        <v>2</v>
      </c>
      <c r="K72" s="14">
        <f t="shared" si="104"/>
        <v>1</v>
      </c>
      <c r="L72" s="137">
        <f t="shared" si="79"/>
        <v>0</v>
      </c>
      <c r="M72" s="137"/>
      <c r="N72" s="14">
        <f t="shared" ref="N72:O72" si="105">O52</f>
        <v>0</v>
      </c>
      <c r="O72" s="14">
        <f t="shared" si="105"/>
        <v>0</v>
      </c>
      <c r="P72" s="137">
        <f t="shared" si="81"/>
        <v>9</v>
      </c>
      <c r="Q72" s="137"/>
      <c r="R72" s="137"/>
      <c r="S72" s="137"/>
      <c r="T72" s="137"/>
      <c r="U72" s="137">
        <f t="shared" si="82"/>
        <v>3</v>
      </c>
      <c r="V72" s="137"/>
      <c r="W72" s="14">
        <f t="shared" si="83"/>
        <v>2</v>
      </c>
    </row>
    <row r="73" spans="1:30" x14ac:dyDescent="0.2">
      <c r="A73" s="13" t="s">
        <v>41</v>
      </c>
      <c r="B73" s="137">
        <f t="shared" si="74"/>
        <v>4</v>
      </c>
      <c r="C73" s="137"/>
      <c r="D73" s="137">
        <f t="shared" si="75"/>
        <v>0</v>
      </c>
      <c r="E73" s="137"/>
      <c r="F73" s="137">
        <f t="shared" si="76"/>
        <v>0</v>
      </c>
      <c r="G73" s="137"/>
      <c r="H73" s="137">
        <f t="shared" si="77"/>
        <v>1</v>
      </c>
      <c r="I73" s="137"/>
      <c r="J73" s="14">
        <f t="shared" ref="J73:K73" si="106">K53</f>
        <v>0</v>
      </c>
      <c r="K73" s="14">
        <f t="shared" si="106"/>
        <v>0</v>
      </c>
      <c r="L73" s="137">
        <f t="shared" si="79"/>
        <v>2</v>
      </c>
      <c r="M73" s="137"/>
      <c r="N73" s="14">
        <f t="shared" ref="N73:O73" si="107">O53</f>
        <v>0</v>
      </c>
      <c r="O73" s="14">
        <f t="shared" si="107"/>
        <v>0</v>
      </c>
      <c r="P73" s="137">
        <f t="shared" si="81"/>
        <v>4</v>
      </c>
      <c r="Q73" s="137"/>
      <c r="R73" s="137"/>
      <c r="S73" s="137"/>
      <c r="T73" s="137"/>
      <c r="U73" s="137">
        <f t="shared" si="82"/>
        <v>0</v>
      </c>
      <c r="V73" s="137"/>
      <c r="W73" s="14">
        <f t="shared" si="83"/>
        <v>0</v>
      </c>
    </row>
    <row r="74" spans="1:30" x14ac:dyDescent="0.2">
      <c r="A74" s="13" t="s">
        <v>37</v>
      </c>
      <c r="B74" s="137">
        <f t="shared" si="74"/>
        <v>1</v>
      </c>
      <c r="C74" s="137"/>
      <c r="D74" s="137">
        <f t="shared" si="75"/>
        <v>3</v>
      </c>
      <c r="E74" s="137"/>
      <c r="F74" s="137">
        <f t="shared" si="76"/>
        <v>0</v>
      </c>
      <c r="G74" s="137"/>
      <c r="H74" s="137">
        <f t="shared" si="77"/>
        <v>0</v>
      </c>
      <c r="I74" s="137"/>
      <c r="J74" s="14">
        <f t="shared" ref="J74:K74" si="108">K54</f>
        <v>0</v>
      </c>
      <c r="K74" s="14">
        <f t="shared" si="108"/>
        <v>1</v>
      </c>
      <c r="L74" s="137">
        <f t="shared" si="79"/>
        <v>0</v>
      </c>
      <c r="M74" s="137"/>
      <c r="N74" s="14">
        <f t="shared" ref="N74:O74" si="109">O54</f>
        <v>1</v>
      </c>
      <c r="O74" s="14">
        <f t="shared" si="109"/>
        <v>0</v>
      </c>
      <c r="P74" s="137">
        <f t="shared" si="81"/>
        <v>8</v>
      </c>
      <c r="Q74" s="137"/>
      <c r="R74" s="137"/>
      <c r="S74" s="137"/>
      <c r="T74" s="137"/>
      <c r="U74" s="137">
        <f t="shared" si="82"/>
        <v>2</v>
      </c>
      <c r="V74" s="137"/>
      <c r="W74" s="14">
        <f t="shared" si="83"/>
        <v>3</v>
      </c>
    </row>
  </sheetData>
  <mergeCells count="185">
    <mergeCell ref="CK1:CL4"/>
    <mergeCell ref="CM1:CV2"/>
    <mergeCell ref="CM3:CV4"/>
    <mergeCell ref="P74:T74"/>
    <mergeCell ref="U74:V74"/>
    <mergeCell ref="B74:C74"/>
    <mergeCell ref="D74:E74"/>
    <mergeCell ref="F74:G74"/>
    <mergeCell ref="H74:I74"/>
    <mergeCell ref="L74:M74"/>
    <mergeCell ref="P72:T72"/>
    <mergeCell ref="U72:V72"/>
    <mergeCell ref="B73:C73"/>
    <mergeCell ref="D73:E73"/>
    <mergeCell ref="F73:G73"/>
    <mergeCell ref="H73:I73"/>
    <mergeCell ref="L73:M73"/>
    <mergeCell ref="P73:T73"/>
    <mergeCell ref="U73:V73"/>
    <mergeCell ref="B72:C72"/>
    <mergeCell ref="D72:E72"/>
    <mergeCell ref="F72:G72"/>
    <mergeCell ref="H72:I72"/>
    <mergeCell ref="L72:M72"/>
    <mergeCell ref="P70:T70"/>
    <mergeCell ref="U70:V70"/>
    <mergeCell ref="B71:C71"/>
    <mergeCell ref="D71:E71"/>
    <mergeCell ref="F71:G71"/>
    <mergeCell ref="H71:I71"/>
    <mergeCell ref="L71:M71"/>
    <mergeCell ref="P71:T71"/>
    <mergeCell ref="U71:V71"/>
    <mergeCell ref="B70:C70"/>
    <mergeCell ref="D70:E70"/>
    <mergeCell ref="F70:G70"/>
    <mergeCell ref="H70:I70"/>
    <mergeCell ref="L70:M70"/>
    <mergeCell ref="P68:T68"/>
    <mergeCell ref="U68:V68"/>
    <mergeCell ref="B69:C69"/>
    <mergeCell ref="D69:E69"/>
    <mergeCell ref="F69:G69"/>
    <mergeCell ref="H69:I69"/>
    <mergeCell ref="L69:M69"/>
    <mergeCell ref="P69:T69"/>
    <mergeCell ref="U69:V69"/>
    <mergeCell ref="B68:C68"/>
    <mergeCell ref="D68:E68"/>
    <mergeCell ref="F68:G68"/>
    <mergeCell ref="H68:I68"/>
    <mergeCell ref="L68:M68"/>
    <mergeCell ref="P66:T66"/>
    <mergeCell ref="U66:V66"/>
    <mergeCell ref="B67:C67"/>
    <mergeCell ref="D67:E67"/>
    <mergeCell ref="F67:G67"/>
    <mergeCell ref="H67:I67"/>
    <mergeCell ref="L67:M67"/>
    <mergeCell ref="P67:T67"/>
    <mergeCell ref="U67:V67"/>
    <mergeCell ref="B66:C66"/>
    <mergeCell ref="D66:E66"/>
    <mergeCell ref="F66:G66"/>
    <mergeCell ref="H66:I66"/>
    <mergeCell ref="L66:M66"/>
    <mergeCell ref="P64:T64"/>
    <mergeCell ref="U64:V64"/>
    <mergeCell ref="B65:C65"/>
    <mergeCell ref="D65:E65"/>
    <mergeCell ref="F65:G65"/>
    <mergeCell ref="H65:I65"/>
    <mergeCell ref="L65:M65"/>
    <mergeCell ref="P65:T65"/>
    <mergeCell ref="U65:V65"/>
    <mergeCell ref="B64:C64"/>
    <mergeCell ref="D64:E64"/>
    <mergeCell ref="F64:G64"/>
    <mergeCell ref="H64:I64"/>
    <mergeCell ref="L64:M64"/>
    <mergeCell ref="P62:T62"/>
    <mergeCell ref="U62:V62"/>
    <mergeCell ref="B63:C63"/>
    <mergeCell ref="D63:E63"/>
    <mergeCell ref="F63:G63"/>
    <mergeCell ref="H63:I63"/>
    <mergeCell ref="L63:M63"/>
    <mergeCell ref="P63:T63"/>
    <mergeCell ref="U63:V63"/>
    <mergeCell ref="B62:C62"/>
    <mergeCell ref="D62:E62"/>
    <mergeCell ref="F62:G62"/>
    <mergeCell ref="H62:I62"/>
    <mergeCell ref="L62:M62"/>
    <mergeCell ref="P59:T59"/>
    <mergeCell ref="U59:V59"/>
    <mergeCell ref="B61:C61"/>
    <mergeCell ref="D61:E61"/>
    <mergeCell ref="F61:G61"/>
    <mergeCell ref="H61:I61"/>
    <mergeCell ref="L61:M61"/>
    <mergeCell ref="P61:T61"/>
    <mergeCell ref="U61:V61"/>
    <mergeCell ref="B59:C59"/>
    <mergeCell ref="D59:E59"/>
    <mergeCell ref="F59:G59"/>
    <mergeCell ref="H59:I59"/>
    <mergeCell ref="L59:M59"/>
    <mergeCell ref="L60:M60"/>
    <mergeCell ref="P60:T60"/>
    <mergeCell ref="U60:V60"/>
    <mergeCell ref="B60:C60"/>
    <mergeCell ref="D60:E60"/>
    <mergeCell ref="F60:G60"/>
    <mergeCell ref="P57:T58"/>
    <mergeCell ref="U57:V58"/>
    <mergeCell ref="L37:L38"/>
    <mergeCell ref="M37:N38"/>
    <mergeCell ref="O37:O38"/>
    <mergeCell ref="P37:P38"/>
    <mergeCell ref="Q37:U38"/>
    <mergeCell ref="C37:D38"/>
    <mergeCell ref="E37:F38"/>
    <mergeCell ref="G37:H38"/>
    <mergeCell ref="I37:J38"/>
    <mergeCell ref="K37:K38"/>
    <mergeCell ref="B57:C58"/>
    <mergeCell ref="D57:E58"/>
    <mergeCell ref="F57:G58"/>
    <mergeCell ref="H57:I58"/>
    <mergeCell ref="J57:J58"/>
    <mergeCell ref="K57:K58"/>
    <mergeCell ref="L57:M58"/>
    <mergeCell ref="N57:N58"/>
    <mergeCell ref="O57:O58"/>
    <mergeCell ref="V37:Z38"/>
    <mergeCell ref="A1:B4"/>
    <mergeCell ref="K1:K2"/>
    <mergeCell ref="L1:L2"/>
    <mergeCell ref="C1:D2"/>
    <mergeCell ref="C3:D4"/>
    <mergeCell ref="E1:F2"/>
    <mergeCell ref="E3:F4"/>
    <mergeCell ref="G3:H4"/>
    <mergeCell ref="K3:K4"/>
    <mergeCell ref="L3:L4"/>
    <mergeCell ref="I3:J4"/>
    <mergeCell ref="AA37:AB38"/>
    <mergeCell ref="AV4:BI4"/>
    <mergeCell ref="AN3:AN4"/>
    <mergeCell ref="AO3:AO4"/>
    <mergeCell ref="AF1:AO2"/>
    <mergeCell ref="AK3:AK4"/>
    <mergeCell ref="AL3:AL4"/>
    <mergeCell ref="AM3:AM4"/>
    <mergeCell ref="AH3:AH4"/>
    <mergeCell ref="AI3:AI4"/>
    <mergeCell ref="AJ3:AJ4"/>
    <mergeCell ref="AF3:AF4"/>
    <mergeCell ref="AG3:AG4"/>
    <mergeCell ref="AC37:AD38"/>
    <mergeCell ref="BL1:BM4"/>
    <mergeCell ref="BN1:CG2"/>
    <mergeCell ref="BN3:BW4"/>
    <mergeCell ref="BX3:CG4"/>
    <mergeCell ref="AA57:AD57"/>
    <mergeCell ref="AA58:AB58"/>
    <mergeCell ref="AC58:AD58"/>
    <mergeCell ref="H60:I60"/>
    <mergeCell ref="AC1:AD2"/>
    <mergeCell ref="G1:H2"/>
    <mergeCell ref="I1:J2"/>
    <mergeCell ref="AA3:AB4"/>
    <mergeCell ref="AC3:AD4"/>
    <mergeCell ref="O1:O2"/>
    <mergeCell ref="P1:P2"/>
    <mergeCell ref="O3:O4"/>
    <mergeCell ref="V3:Z4"/>
    <mergeCell ref="Q3:U4"/>
    <mergeCell ref="M1:N2"/>
    <mergeCell ref="M3:N4"/>
    <mergeCell ref="P3:P4"/>
    <mergeCell ref="Q1:U2"/>
    <mergeCell ref="V1:Z2"/>
    <mergeCell ref="AA1:AB2"/>
  </mergeCells>
  <conditionalFormatting sqref="B59:C74">
    <cfRule type="cellIs" dxfId="97" priority="6" operator="greaterThan">
      <formula>3</formula>
    </cfRule>
    <cfRule type="cellIs" dxfId="96" priority="10" operator="equal">
      <formula>3</formula>
    </cfRule>
    <cfRule type="cellIs" dxfId="95" priority="14" operator="greaterThan">
      <formula>4</formula>
    </cfRule>
  </conditionalFormatting>
  <conditionalFormatting sqref="F59:G74">
    <cfRule type="cellIs" dxfId="94" priority="5" operator="greaterThan">
      <formula>3</formula>
    </cfRule>
    <cfRule type="cellIs" dxfId="93" priority="9" operator="equal">
      <formula>3</formula>
    </cfRule>
    <cfRule type="cellIs" dxfId="92" priority="13" operator="greaterThan">
      <formula>4</formula>
    </cfRule>
  </conditionalFormatting>
  <conditionalFormatting sqref="U59:V74">
    <cfRule type="cellIs" dxfId="91" priority="1" operator="greaterThan">
      <formula>3</formula>
    </cfRule>
    <cfRule type="cellIs" dxfId="90" priority="8" operator="equal">
      <formula>3</formula>
    </cfRule>
    <cfRule type="cellIs" dxfId="89" priority="12" operator="greaterThan">
      <formula>4</formula>
    </cfRule>
  </conditionalFormatting>
  <conditionalFormatting sqref="W59:W74">
    <cfRule type="cellIs" dxfId="88" priority="7" operator="equal">
      <formula>3</formula>
    </cfRule>
    <cfRule type="cellIs" dxfId="87" priority="11" operator="greaterThan">
      <formula>4</formula>
    </cfRule>
  </conditionalFormatting>
  <conditionalFormatting sqref="J59:J74">
    <cfRule type="aboveAverage" dxfId="86" priority="3" aboveAverage="0"/>
  </conditionalFormatting>
  <conditionalFormatting sqref="K59:K74">
    <cfRule type="aboveAverage" dxfId="85" priority="2" aboveAverage="0"/>
  </conditionalFormatting>
  <pageMargins left="0.7" right="0.7" top="0.75" bottom="0.75" header="0.3" footer="0.3"/>
  <pageSetup paperSize="9" scale="4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videnziaDuplicatiPerRiga">
                <anchor moveWithCells="1" sizeWithCells="1">
                  <from>
                    <xdr:col>46</xdr:col>
                    <xdr:colOff>88900</xdr:colOff>
                    <xdr:row>2</xdr:row>
                    <xdr:rowOff>63500</xdr:rowOff>
                  </from>
                  <to>
                    <xdr:col>46</xdr:col>
                    <xdr:colOff>1003300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criviCondizioniMultiple">
                <anchor moveWithCells="1" sizeWithCells="1">
                  <from>
                    <xdr:col>86</xdr:col>
                    <xdr:colOff>38100</xdr:colOff>
                    <xdr:row>2</xdr:row>
                    <xdr:rowOff>0</xdr:rowOff>
                  </from>
                  <to>
                    <xdr:col>87</xdr:col>
                    <xdr:colOff>571500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EvidenziaDuplicatiRiga2">
                <anchor moveWithCells="1" sizeWithCells="1">
                  <from>
                    <xdr:col>46</xdr:col>
                    <xdr:colOff>88900</xdr:colOff>
                    <xdr:row>5</xdr:row>
                    <xdr:rowOff>38100</xdr:rowOff>
                  </from>
                  <to>
                    <xdr:col>46</xdr:col>
                    <xdr:colOff>1257300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PulisciGriglia">
                <anchor moveWithCells="1" sizeWithCells="1">
                  <from>
                    <xdr:col>46</xdr:col>
                    <xdr:colOff>50800</xdr:colOff>
                    <xdr:row>7</xdr:row>
                    <xdr:rowOff>114300</xdr:rowOff>
                  </from>
                  <to>
                    <xdr:col>46</xdr:col>
                    <xdr:colOff>1257300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259A594F-0420-4C03-AE81-7A637DCDE9F0}">
          <x14:formula1>
            <xm:f>SETUP!$A$1:$A$17</xm:f>
          </x14:formula1>
          <xm:sqref>N5:N35 AD5:AD35 AB5:AB35 J5:J35 Q5:Z35 F5:F35 H5:H35 D5:D35 AG23:AG35 AG5:AG21 AH5:AH35 AJ5:AT35 AI5:AI20 AI22:AI35</xm:sqref>
        </x14:dataValidation>
        <x14:dataValidation type="list" allowBlank="1" showInputMessage="1" xr:uid="{4B5C66B8-6808-4E86-89DB-133738A08AD5}">
          <x14:formula1>
            <xm:f>SETUP!$A$1:$A$17</xm:f>
          </x14:formula1>
          <xm:sqref>BN5:CG35 CM5:CV35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1219-4A5F-4DF1-9E3E-0B613E1260E7}">
  <sheetPr codeName="Sheet2"/>
  <dimension ref="A1:AS36"/>
  <sheetViews>
    <sheetView zoomScale="88" zoomScaleNormal="120" workbookViewId="0">
      <selection sqref="A1:V35"/>
    </sheetView>
  </sheetViews>
  <sheetFormatPr baseColWidth="10" defaultColWidth="8.83203125" defaultRowHeight="15" x14ac:dyDescent="0.2"/>
  <cols>
    <col min="1" max="1" width="6.33203125" customWidth="1"/>
    <col min="2" max="2" width="5.83203125" customWidth="1"/>
    <col min="3" max="25" width="4.6640625" customWidth="1"/>
    <col min="26" max="26" width="8.33203125" customWidth="1"/>
    <col min="27" max="27" width="8.1640625" customWidth="1"/>
    <col min="28" max="28" width="6.83203125" customWidth="1"/>
    <col min="29" max="31" width="5.83203125" customWidth="1"/>
    <col min="32" max="32" width="9.6640625" customWidth="1"/>
    <col min="33" max="33" width="8.33203125" customWidth="1"/>
    <col min="34" max="39" width="5.83203125" customWidth="1"/>
    <col min="40" max="44" width="4.6640625" customWidth="1"/>
  </cols>
  <sheetData>
    <row r="1" spans="1:45" ht="14.25" customHeight="1" x14ac:dyDescent="0.2">
      <c r="A1" s="106" t="s">
        <v>0</v>
      </c>
      <c r="B1" s="107"/>
      <c r="C1" s="112" t="s">
        <v>54</v>
      </c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4"/>
      <c r="W1" s="11"/>
      <c r="X1" s="106" t="s">
        <v>0</v>
      </c>
      <c r="Y1" s="107"/>
      <c r="Z1" s="183" t="s">
        <v>55</v>
      </c>
      <c r="AA1" s="184"/>
      <c r="AB1" s="184"/>
      <c r="AC1" s="184"/>
      <c r="AD1" s="184"/>
      <c r="AE1" s="184"/>
      <c r="AF1" s="184"/>
      <c r="AG1" s="184"/>
      <c r="AH1" s="184"/>
      <c r="AI1" s="184"/>
      <c r="AJ1" s="184"/>
      <c r="AK1" s="184"/>
      <c r="AL1" s="184"/>
      <c r="AM1" s="184"/>
      <c r="AN1" s="184"/>
      <c r="AO1" s="184"/>
      <c r="AP1" s="184"/>
      <c r="AQ1" s="184"/>
      <c r="AR1" s="184"/>
      <c r="AS1" s="184"/>
    </row>
    <row r="2" spans="1:45" ht="16" thickBot="1" x14ac:dyDescent="0.25">
      <c r="A2" s="108"/>
      <c r="B2" s="109"/>
      <c r="C2" s="115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7"/>
      <c r="W2" s="11"/>
      <c r="X2" s="108"/>
      <c r="Y2" s="109"/>
      <c r="Z2" s="185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  <c r="AM2" s="186"/>
      <c r="AN2" s="186"/>
      <c r="AO2" s="186"/>
      <c r="AP2" s="186"/>
      <c r="AQ2" s="186"/>
      <c r="AR2" s="186"/>
      <c r="AS2" s="186"/>
    </row>
    <row r="3" spans="1:45" ht="14.25" customHeight="1" x14ac:dyDescent="0.2">
      <c r="A3" s="108"/>
      <c r="B3" s="109"/>
      <c r="C3" s="118" t="s">
        <v>56</v>
      </c>
      <c r="D3" s="119"/>
      <c r="E3" s="119"/>
      <c r="F3" s="119"/>
      <c r="G3" s="119"/>
      <c r="H3" s="119"/>
      <c r="I3" s="119"/>
      <c r="J3" s="119"/>
      <c r="K3" s="119"/>
      <c r="L3" s="120"/>
      <c r="M3" s="124" t="s">
        <v>57</v>
      </c>
      <c r="N3" s="125"/>
      <c r="O3" s="125"/>
      <c r="P3" s="125"/>
      <c r="Q3" s="125"/>
      <c r="R3" s="125"/>
      <c r="S3" s="125"/>
      <c r="T3" s="125"/>
      <c r="U3" s="125"/>
      <c r="V3" s="126"/>
      <c r="W3" s="11"/>
      <c r="X3" s="108"/>
      <c r="Y3" s="109"/>
      <c r="Z3" s="118" t="s">
        <v>56</v>
      </c>
      <c r="AA3" s="119"/>
      <c r="AB3" s="119"/>
      <c r="AC3" s="119"/>
      <c r="AD3" s="119"/>
      <c r="AE3" s="119"/>
      <c r="AF3" s="119"/>
      <c r="AG3" s="119"/>
      <c r="AH3" s="119"/>
      <c r="AI3" s="120"/>
      <c r="AJ3" s="124" t="s">
        <v>57</v>
      </c>
      <c r="AK3" s="125"/>
      <c r="AL3" s="125"/>
      <c r="AM3" s="125"/>
      <c r="AN3" s="125"/>
      <c r="AO3" s="125"/>
      <c r="AP3" s="125"/>
      <c r="AQ3" s="125"/>
      <c r="AR3" s="125"/>
      <c r="AS3" s="126"/>
    </row>
    <row r="4" spans="1:45" ht="16" thickBot="1" x14ac:dyDescent="0.25">
      <c r="A4" s="110"/>
      <c r="B4" s="111"/>
      <c r="C4" s="121"/>
      <c r="D4" s="122"/>
      <c r="E4" s="122"/>
      <c r="F4" s="122"/>
      <c r="G4" s="122"/>
      <c r="H4" s="122"/>
      <c r="I4" s="122"/>
      <c r="J4" s="122"/>
      <c r="K4" s="122"/>
      <c r="L4" s="123"/>
      <c r="M4" s="127"/>
      <c r="N4" s="128"/>
      <c r="O4" s="128"/>
      <c r="P4" s="128"/>
      <c r="Q4" s="128"/>
      <c r="R4" s="128"/>
      <c r="S4" s="128"/>
      <c r="T4" s="128"/>
      <c r="U4" s="128"/>
      <c r="V4" s="129"/>
      <c r="W4" s="11"/>
      <c r="X4" s="110"/>
      <c r="Y4" s="111"/>
      <c r="Z4" s="121"/>
      <c r="AA4" s="122"/>
      <c r="AB4" s="122"/>
      <c r="AC4" s="122"/>
      <c r="AD4" s="122"/>
      <c r="AE4" s="122"/>
      <c r="AF4" s="122"/>
      <c r="AG4" s="122"/>
      <c r="AH4" s="122"/>
      <c r="AI4" s="123"/>
      <c r="AJ4" s="127"/>
      <c r="AK4" s="128"/>
      <c r="AL4" s="128"/>
      <c r="AM4" s="128"/>
      <c r="AN4" s="128"/>
      <c r="AO4" s="128"/>
      <c r="AP4" s="128"/>
      <c r="AQ4" s="128"/>
      <c r="AR4" s="128"/>
      <c r="AS4" s="129"/>
    </row>
    <row r="5" spans="1:45" ht="16" thickBot="1" x14ac:dyDescent="0.25">
      <c r="A5" s="9">
        <v>1</v>
      </c>
      <c r="B5" s="5" t="str">
        <f>TURNI!B5</f>
        <v>G</v>
      </c>
      <c r="C5" s="6"/>
      <c r="D5" s="7"/>
      <c r="E5" s="7"/>
      <c r="F5" s="7"/>
      <c r="G5" s="7"/>
      <c r="H5" s="7"/>
      <c r="I5" s="7"/>
      <c r="J5" s="7"/>
      <c r="K5" s="7"/>
      <c r="L5" s="7"/>
      <c r="M5" s="8" t="s">
        <v>28</v>
      </c>
      <c r="N5" s="8" t="s">
        <v>37</v>
      </c>
      <c r="O5" s="8" t="s">
        <v>39</v>
      </c>
      <c r="P5" s="8"/>
      <c r="Q5" s="8"/>
      <c r="R5" s="8"/>
      <c r="S5" s="8"/>
      <c r="T5" s="8"/>
      <c r="U5" s="8"/>
      <c r="V5" s="8"/>
      <c r="W5" s="11"/>
      <c r="X5" s="9">
        <v>1</v>
      </c>
      <c r="Y5" s="5" t="str">
        <f>B5</f>
        <v>G</v>
      </c>
      <c r="Z5" s="6"/>
      <c r="AA5" s="7"/>
      <c r="AB5" s="7"/>
      <c r="AC5" s="7"/>
      <c r="AD5" s="7"/>
      <c r="AE5" s="7"/>
      <c r="AF5" s="7"/>
      <c r="AG5" s="7"/>
      <c r="AH5" s="7"/>
      <c r="AI5" s="7"/>
      <c r="AJ5" s="8"/>
      <c r="AK5" s="8"/>
      <c r="AL5" s="8"/>
      <c r="AM5" s="8"/>
      <c r="AN5" s="8"/>
      <c r="AO5" s="8"/>
      <c r="AP5" s="8"/>
      <c r="AQ5" s="8"/>
      <c r="AR5" s="8"/>
      <c r="AS5" s="8"/>
    </row>
    <row r="6" spans="1:45" ht="16" thickBot="1" x14ac:dyDescent="0.25">
      <c r="A6" s="10">
        <v>2</v>
      </c>
      <c r="B6" s="5" t="str">
        <f>TURNI!B6</f>
        <v>V</v>
      </c>
      <c r="C6" s="6"/>
      <c r="D6" s="7"/>
      <c r="E6" s="7"/>
      <c r="F6" s="7"/>
      <c r="G6" s="7"/>
      <c r="H6" s="7"/>
      <c r="I6" s="7"/>
      <c r="J6" s="7"/>
      <c r="K6" s="7"/>
      <c r="L6" s="7"/>
      <c r="M6" s="8" t="s">
        <v>27</v>
      </c>
      <c r="N6" s="8" t="s">
        <v>40</v>
      </c>
      <c r="O6" s="8" t="s">
        <v>34</v>
      </c>
      <c r="P6" s="8"/>
      <c r="Q6" s="8"/>
      <c r="R6" s="8"/>
      <c r="S6" s="8"/>
      <c r="T6" s="8"/>
      <c r="U6" s="8"/>
      <c r="V6" s="8"/>
      <c r="W6" s="11"/>
      <c r="X6" s="10">
        <v>2</v>
      </c>
      <c r="Y6" s="5" t="str">
        <f t="shared" ref="Y6:Y33" si="0">B6</f>
        <v>V</v>
      </c>
      <c r="Z6" s="6"/>
      <c r="AA6" s="7"/>
      <c r="AB6" s="7"/>
      <c r="AC6" s="7"/>
      <c r="AD6" s="7"/>
      <c r="AE6" s="7"/>
      <c r="AF6" s="7"/>
      <c r="AG6" s="7"/>
      <c r="AH6" s="7"/>
      <c r="AI6" s="7"/>
      <c r="AJ6" s="8"/>
      <c r="AK6" s="8"/>
      <c r="AL6" s="8"/>
      <c r="AM6" s="8"/>
      <c r="AN6" s="8"/>
      <c r="AO6" s="8"/>
      <c r="AP6" s="8"/>
      <c r="AQ6" s="8"/>
      <c r="AR6" s="8"/>
      <c r="AS6" s="8"/>
    </row>
    <row r="7" spans="1:45" ht="16" thickBot="1" x14ac:dyDescent="0.25">
      <c r="A7" s="10">
        <v>3</v>
      </c>
      <c r="B7" s="5" t="str">
        <f>TURNI!B7</f>
        <v>S</v>
      </c>
      <c r="C7" s="6"/>
      <c r="D7" s="7"/>
      <c r="E7" s="7"/>
      <c r="F7" s="7"/>
      <c r="G7" s="7"/>
      <c r="H7" s="7"/>
      <c r="I7" s="7"/>
      <c r="J7" s="7"/>
      <c r="K7" s="7"/>
      <c r="L7" s="7"/>
      <c r="M7" s="8"/>
      <c r="N7" s="8"/>
      <c r="O7" s="8"/>
      <c r="P7" s="8"/>
      <c r="Q7" s="8"/>
      <c r="R7" s="8"/>
      <c r="S7" s="8"/>
      <c r="T7" s="8"/>
      <c r="U7" s="8"/>
      <c r="V7" s="8"/>
      <c r="W7" s="11"/>
      <c r="X7" s="10">
        <v>3</v>
      </c>
      <c r="Y7" s="5" t="str">
        <f t="shared" si="0"/>
        <v>S</v>
      </c>
      <c r="Z7" s="6"/>
      <c r="AA7" s="7"/>
      <c r="AB7" s="7"/>
      <c r="AC7" s="7"/>
      <c r="AD7" s="7"/>
      <c r="AE7" s="7"/>
      <c r="AF7" s="7"/>
      <c r="AG7" s="7"/>
      <c r="AH7" s="7"/>
      <c r="AI7" s="7"/>
      <c r="AJ7" s="8"/>
      <c r="AK7" s="8"/>
      <c r="AL7" s="8"/>
      <c r="AM7" s="8"/>
      <c r="AN7" s="8"/>
      <c r="AO7" s="8"/>
      <c r="AP7" s="8"/>
      <c r="AQ7" s="8"/>
      <c r="AR7" s="8"/>
      <c r="AS7" s="8"/>
    </row>
    <row r="8" spans="1:45" ht="16" thickBot="1" x14ac:dyDescent="0.25">
      <c r="A8" s="9">
        <v>4</v>
      </c>
      <c r="B8" s="5" t="str">
        <f>TURNI!B8</f>
        <v>D</v>
      </c>
      <c r="C8" s="6"/>
      <c r="D8" s="7"/>
      <c r="E8" s="7"/>
      <c r="F8" s="7"/>
      <c r="G8" s="7"/>
      <c r="H8" s="7"/>
      <c r="I8" s="7"/>
      <c r="J8" s="7"/>
      <c r="K8" s="7"/>
      <c r="L8" s="7"/>
      <c r="M8" s="8"/>
      <c r="N8" s="8"/>
      <c r="O8" s="8"/>
      <c r="P8" s="8"/>
      <c r="Q8" s="8"/>
      <c r="R8" s="8"/>
      <c r="S8" s="8"/>
      <c r="T8" s="8"/>
      <c r="U8" s="8"/>
      <c r="V8" s="8"/>
      <c r="W8" s="11"/>
      <c r="X8" s="9">
        <v>4</v>
      </c>
      <c r="Y8" s="5" t="str">
        <f t="shared" si="0"/>
        <v>D</v>
      </c>
      <c r="Z8" s="6"/>
      <c r="AA8" s="7"/>
      <c r="AB8" s="7"/>
      <c r="AC8" s="7"/>
      <c r="AD8" s="7"/>
      <c r="AE8" s="7"/>
      <c r="AF8" s="7"/>
      <c r="AG8" s="7"/>
      <c r="AH8" s="7"/>
      <c r="AI8" s="7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45" ht="16" thickBot="1" x14ac:dyDescent="0.25">
      <c r="A9" s="9">
        <v>5</v>
      </c>
      <c r="B9" s="5" t="str">
        <f>TURNI!B9</f>
        <v>L</v>
      </c>
      <c r="C9" s="6"/>
      <c r="D9" s="7"/>
      <c r="E9" s="7"/>
      <c r="F9" s="7"/>
      <c r="G9" s="7"/>
      <c r="H9" s="7"/>
      <c r="I9" s="7"/>
      <c r="J9" s="7"/>
      <c r="K9" s="7"/>
      <c r="L9" s="7"/>
      <c r="M9" s="8" t="s">
        <v>38</v>
      </c>
      <c r="N9" s="8" t="s">
        <v>36</v>
      </c>
      <c r="O9" s="8" t="s">
        <v>33</v>
      </c>
      <c r="P9" s="8"/>
      <c r="Q9" s="8"/>
      <c r="R9" s="8"/>
      <c r="S9" s="8"/>
      <c r="T9" s="8"/>
      <c r="U9" s="8"/>
      <c r="V9" s="8"/>
      <c r="W9" s="11"/>
      <c r="X9" s="9">
        <v>5</v>
      </c>
      <c r="Y9" s="5" t="str">
        <f t="shared" si="0"/>
        <v>L</v>
      </c>
      <c r="Z9" s="6"/>
      <c r="AA9" s="7"/>
      <c r="AB9" s="7"/>
      <c r="AC9" s="7"/>
      <c r="AD9" s="7"/>
      <c r="AE9" s="7"/>
      <c r="AF9" s="7"/>
      <c r="AG9" s="7"/>
      <c r="AH9" s="7"/>
      <c r="AI9" s="7"/>
      <c r="AJ9" s="8" t="s">
        <v>36</v>
      </c>
      <c r="AK9" s="8"/>
      <c r="AL9" s="8"/>
      <c r="AM9" s="8"/>
      <c r="AN9" s="8"/>
      <c r="AO9" s="8"/>
      <c r="AP9" s="8"/>
      <c r="AQ9" s="8"/>
      <c r="AR9" s="8"/>
      <c r="AS9" s="8"/>
    </row>
    <row r="10" spans="1:45" ht="16" thickBot="1" x14ac:dyDescent="0.25">
      <c r="A10" s="9">
        <v>6</v>
      </c>
      <c r="B10" s="5" t="str">
        <f>TURNI!B10</f>
        <v>MA</v>
      </c>
      <c r="C10" s="6"/>
      <c r="D10" s="7"/>
      <c r="E10" s="7"/>
      <c r="F10" s="7"/>
      <c r="G10" s="7"/>
      <c r="H10" s="7"/>
      <c r="I10" s="7"/>
      <c r="J10" s="7"/>
      <c r="K10" s="7"/>
      <c r="L10" s="7"/>
      <c r="M10" s="8" t="s">
        <v>28</v>
      </c>
      <c r="N10" s="8" t="s">
        <v>40</v>
      </c>
      <c r="O10" s="8"/>
      <c r="P10" s="8"/>
      <c r="Q10" s="8"/>
      <c r="R10" s="8"/>
      <c r="S10" s="8"/>
      <c r="T10" s="8"/>
      <c r="U10" s="8"/>
      <c r="V10" s="8"/>
      <c r="W10" s="11"/>
      <c r="X10" s="9">
        <v>6</v>
      </c>
      <c r="Y10" s="5" t="str">
        <f t="shared" si="0"/>
        <v>MA</v>
      </c>
      <c r="Z10" s="6"/>
      <c r="AA10" s="7"/>
      <c r="AB10" s="7"/>
      <c r="AC10" s="7"/>
      <c r="AD10" s="7"/>
      <c r="AE10" s="7"/>
      <c r="AF10" s="7"/>
      <c r="AG10" s="7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</row>
    <row r="11" spans="1:45" ht="16" thickBot="1" x14ac:dyDescent="0.25">
      <c r="A11" s="9">
        <v>7</v>
      </c>
      <c r="B11" s="5" t="str">
        <f>TURNI!B11</f>
        <v>M</v>
      </c>
      <c r="C11" s="6"/>
      <c r="D11" s="7"/>
      <c r="E11" s="7"/>
      <c r="F11" s="7"/>
      <c r="G11" s="7"/>
      <c r="H11" s="7"/>
      <c r="I11" s="7"/>
      <c r="J11" s="7"/>
      <c r="K11" s="7"/>
      <c r="L11" s="7"/>
      <c r="M11" s="8" t="s">
        <v>27</v>
      </c>
      <c r="N11" s="8" t="s">
        <v>26</v>
      </c>
      <c r="O11" s="8"/>
      <c r="P11" s="8"/>
      <c r="Q11" s="8"/>
      <c r="R11" s="8"/>
      <c r="S11" s="8"/>
      <c r="T11" s="8"/>
      <c r="U11" s="8"/>
      <c r="V11" s="8"/>
      <c r="W11" s="11"/>
      <c r="X11" s="9">
        <v>7</v>
      </c>
      <c r="Y11" s="5" t="str">
        <f t="shared" si="0"/>
        <v>M</v>
      </c>
      <c r="Z11" s="6"/>
      <c r="AA11" s="7"/>
      <c r="AB11" s="7"/>
      <c r="AC11" s="7"/>
      <c r="AD11" s="7"/>
      <c r="AE11" s="7"/>
      <c r="AF11" s="7"/>
      <c r="AG11" s="7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</row>
    <row r="12" spans="1:45" ht="16" thickBot="1" x14ac:dyDescent="0.25">
      <c r="A12" s="10">
        <v>8</v>
      </c>
      <c r="B12" s="5" t="str">
        <f>TURNI!B12</f>
        <v>G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8" t="s">
        <v>28</v>
      </c>
      <c r="N12" s="8" t="s">
        <v>36</v>
      </c>
      <c r="O12" s="8" t="s">
        <v>37</v>
      </c>
      <c r="P12" s="8" t="s">
        <v>39</v>
      </c>
      <c r="Q12" s="8"/>
      <c r="R12" s="8"/>
      <c r="S12" s="8"/>
      <c r="T12" s="8"/>
      <c r="U12" s="8"/>
      <c r="V12" s="8"/>
      <c r="W12" s="11"/>
      <c r="X12" s="10">
        <v>8</v>
      </c>
      <c r="Y12" s="5" t="str">
        <f t="shared" si="0"/>
        <v>G</v>
      </c>
      <c r="Z12" s="6"/>
      <c r="AA12" s="7"/>
      <c r="AB12" s="7"/>
      <c r="AC12" s="7"/>
      <c r="AD12" s="7"/>
      <c r="AE12" s="7"/>
      <c r="AF12" s="7"/>
      <c r="AG12" s="7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</row>
    <row r="13" spans="1:45" ht="16" thickBot="1" x14ac:dyDescent="0.25">
      <c r="A13" s="10">
        <v>9</v>
      </c>
      <c r="B13" s="5" t="str">
        <f>TURNI!B13</f>
        <v>V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8" t="s">
        <v>27</v>
      </c>
      <c r="N13" s="8" t="s">
        <v>40</v>
      </c>
      <c r="O13" s="8" t="s">
        <v>34</v>
      </c>
      <c r="P13" s="8"/>
      <c r="Q13" s="8"/>
      <c r="R13" s="8"/>
      <c r="S13" s="8"/>
      <c r="T13" s="8"/>
      <c r="U13" s="8"/>
      <c r="V13" s="8"/>
      <c r="W13" s="11"/>
      <c r="X13" s="10">
        <v>9</v>
      </c>
      <c r="Y13" s="5" t="str">
        <f t="shared" si="0"/>
        <v>V</v>
      </c>
      <c r="Z13" s="6"/>
      <c r="AA13" s="7"/>
      <c r="AB13" s="7"/>
      <c r="AC13" s="7"/>
      <c r="AD13" s="7"/>
      <c r="AE13" s="7"/>
      <c r="AF13" s="7"/>
      <c r="AG13" s="7"/>
      <c r="AH13" s="7"/>
      <c r="AI13" s="7"/>
      <c r="AJ13" s="8"/>
      <c r="AK13" s="8"/>
      <c r="AL13" s="8"/>
      <c r="AM13" s="8"/>
      <c r="AN13" s="8"/>
      <c r="AO13" s="8"/>
      <c r="AP13" s="8"/>
      <c r="AQ13" s="8"/>
      <c r="AR13" s="8"/>
      <c r="AS13" s="8"/>
    </row>
    <row r="14" spans="1:45" ht="16" thickBot="1" x14ac:dyDescent="0.25">
      <c r="A14" s="10">
        <v>10</v>
      </c>
      <c r="B14" s="5" t="str">
        <f>TURNI!B14</f>
        <v>S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8"/>
      <c r="N14" s="8"/>
      <c r="O14" s="8"/>
      <c r="P14" s="8"/>
      <c r="Q14" s="8"/>
      <c r="R14" s="8"/>
      <c r="S14" s="8"/>
      <c r="T14" s="8"/>
      <c r="U14" s="8"/>
      <c r="V14" s="8"/>
      <c r="W14" s="11"/>
      <c r="X14" s="10">
        <v>10</v>
      </c>
      <c r="Y14" s="5" t="str">
        <f t="shared" si="0"/>
        <v>S</v>
      </c>
      <c r="Z14" s="6"/>
      <c r="AA14" s="7"/>
      <c r="AB14" s="7"/>
      <c r="AC14" s="7"/>
      <c r="AD14" s="7"/>
      <c r="AE14" s="7"/>
      <c r="AF14" s="7"/>
      <c r="AG14" s="7"/>
      <c r="AH14" s="7"/>
      <c r="AI14" s="7"/>
      <c r="AJ14" s="8"/>
      <c r="AK14" s="8"/>
      <c r="AL14" s="8"/>
      <c r="AM14" s="8"/>
      <c r="AN14" s="8"/>
      <c r="AO14" s="8"/>
      <c r="AP14" s="8"/>
      <c r="AQ14" s="8"/>
      <c r="AR14" s="8"/>
      <c r="AS14" s="8"/>
    </row>
    <row r="15" spans="1:45" ht="16" thickBot="1" x14ac:dyDescent="0.25">
      <c r="A15" s="9">
        <v>11</v>
      </c>
      <c r="B15" s="5" t="str">
        <f>TURNI!B15</f>
        <v>D</v>
      </c>
      <c r="C15" s="6"/>
      <c r="D15" s="7"/>
      <c r="E15" s="7"/>
      <c r="F15" s="7"/>
      <c r="G15" s="7"/>
      <c r="H15" s="7"/>
      <c r="I15" s="7"/>
      <c r="J15" s="7"/>
      <c r="K15" s="7"/>
      <c r="L15" s="7"/>
      <c r="M15" s="8"/>
      <c r="N15" s="8"/>
      <c r="O15" s="8"/>
      <c r="P15" s="8"/>
      <c r="Q15" s="8"/>
      <c r="R15" s="8"/>
      <c r="S15" s="8"/>
      <c r="T15" s="8"/>
      <c r="U15" s="8"/>
      <c r="V15" s="8"/>
      <c r="W15" s="11"/>
      <c r="X15" s="9">
        <v>11</v>
      </c>
      <c r="Y15" s="5" t="str">
        <f t="shared" si="0"/>
        <v>D</v>
      </c>
      <c r="Z15" s="6"/>
      <c r="AA15" s="7"/>
      <c r="AB15" s="7"/>
      <c r="AC15" s="7"/>
      <c r="AD15" s="7"/>
      <c r="AE15" s="7"/>
      <c r="AF15" s="7"/>
      <c r="AG15" s="7"/>
      <c r="AH15" s="7"/>
      <c r="AI15" s="7"/>
      <c r="AJ15" s="8"/>
      <c r="AK15" s="8"/>
      <c r="AL15" s="8"/>
      <c r="AM15" s="8"/>
      <c r="AN15" s="8"/>
      <c r="AO15" s="8"/>
      <c r="AP15" s="8"/>
      <c r="AQ15" s="8"/>
      <c r="AR15" s="8"/>
      <c r="AS15" s="8"/>
    </row>
    <row r="16" spans="1:45" ht="16" thickBot="1" x14ac:dyDescent="0.25">
      <c r="A16" s="9">
        <v>12</v>
      </c>
      <c r="B16" s="5" t="str">
        <f>TURNI!B16</f>
        <v>L</v>
      </c>
      <c r="C16" s="6"/>
      <c r="D16" s="7"/>
      <c r="E16" s="7"/>
      <c r="F16" s="7"/>
      <c r="G16" s="7"/>
      <c r="H16" s="7"/>
      <c r="I16" s="7"/>
      <c r="J16" s="7"/>
      <c r="K16" s="7"/>
      <c r="L16" s="7"/>
      <c r="M16" s="8" t="s">
        <v>38</v>
      </c>
      <c r="N16" s="8" t="s">
        <v>36</v>
      </c>
      <c r="O16" s="8" t="s">
        <v>33</v>
      </c>
      <c r="P16" s="8" t="s">
        <v>26</v>
      </c>
      <c r="Q16" s="8"/>
      <c r="R16" s="8"/>
      <c r="S16" s="8"/>
      <c r="T16" s="8"/>
      <c r="U16" s="8"/>
      <c r="V16" s="8"/>
      <c r="W16" s="11"/>
      <c r="X16" s="9">
        <v>12</v>
      </c>
      <c r="Y16" s="5" t="str">
        <f t="shared" si="0"/>
        <v>L</v>
      </c>
      <c r="Z16" s="6"/>
      <c r="AA16" s="7"/>
      <c r="AB16" s="7"/>
      <c r="AC16" s="7"/>
      <c r="AD16" s="7"/>
      <c r="AE16" s="7"/>
      <c r="AF16" s="7"/>
      <c r="AG16" s="7"/>
      <c r="AH16" s="7"/>
      <c r="AI16" s="7"/>
      <c r="AJ16" s="8"/>
      <c r="AK16" s="8"/>
      <c r="AL16" s="8"/>
      <c r="AM16" s="8"/>
      <c r="AN16" s="8"/>
      <c r="AO16" s="8"/>
      <c r="AP16" s="8"/>
      <c r="AQ16" s="8"/>
      <c r="AR16" s="8"/>
      <c r="AS16" s="8"/>
    </row>
    <row r="17" spans="1:45" ht="16" thickBot="1" x14ac:dyDescent="0.25">
      <c r="A17" s="9">
        <v>13</v>
      </c>
      <c r="B17" s="5" t="str">
        <f>TURNI!B17</f>
        <v>MA</v>
      </c>
      <c r="C17" s="6"/>
      <c r="D17" s="7"/>
      <c r="E17" s="7"/>
      <c r="F17" s="7"/>
      <c r="G17" s="7"/>
      <c r="H17" s="7"/>
      <c r="I17" s="7"/>
      <c r="J17" s="7"/>
      <c r="K17" s="7"/>
      <c r="L17" s="7"/>
      <c r="M17" s="8" t="s">
        <v>28</v>
      </c>
      <c r="N17" s="8" t="s">
        <v>40</v>
      </c>
      <c r="O17" s="8"/>
      <c r="P17" s="8"/>
      <c r="Q17" s="8"/>
      <c r="R17" s="8"/>
      <c r="S17" s="8"/>
      <c r="T17" s="8"/>
      <c r="U17" s="8"/>
      <c r="V17" s="8"/>
      <c r="W17" s="11"/>
      <c r="X17" s="9">
        <v>13</v>
      </c>
      <c r="Y17" s="5" t="str">
        <f t="shared" si="0"/>
        <v>MA</v>
      </c>
      <c r="Z17" s="6"/>
      <c r="AA17" s="7"/>
      <c r="AB17" s="7"/>
      <c r="AC17" s="7"/>
      <c r="AD17" s="7"/>
      <c r="AE17" s="7"/>
      <c r="AF17" s="7"/>
      <c r="AG17" s="7"/>
      <c r="AH17" s="7"/>
      <c r="AI17" s="7"/>
      <c r="AJ17" s="8"/>
      <c r="AK17" s="8"/>
      <c r="AL17" s="8"/>
      <c r="AM17" s="8"/>
      <c r="AN17" s="8"/>
      <c r="AO17" s="8"/>
      <c r="AP17" s="8"/>
      <c r="AQ17" s="8"/>
      <c r="AR17" s="8"/>
      <c r="AS17" s="8"/>
    </row>
    <row r="18" spans="1:45" ht="16" thickBot="1" x14ac:dyDescent="0.25">
      <c r="A18" s="9">
        <v>14</v>
      </c>
      <c r="B18" s="5" t="str">
        <f>TURNI!B18</f>
        <v>M</v>
      </c>
      <c r="C18" s="6"/>
      <c r="D18" s="7"/>
      <c r="E18" s="7"/>
      <c r="F18" s="7"/>
      <c r="G18" s="7"/>
      <c r="H18" s="7"/>
      <c r="I18" s="7"/>
      <c r="J18" s="7"/>
      <c r="K18" s="7"/>
      <c r="L18" s="7"/>
      <c r="M18" s="8" t="s">
        <v>27</v>
      </c>
      <c r="N18" s="8" t="s">
        <v>26</v>
      </c>
      <c r="O18" s="8"/>
      <c r="P18" s="8"/>
      <c r="Q18" s="8"/>
      <c r="R18" s="8"/>
      <c r="S18" s="8"/>
      <c r="T18" s="8"/>
      <c r="U18" s="8"/>
      <c r="V18" s="8"/>
      <c r="W18" s="11"/>
      <c r="X18" s="9">
        <v>14</v>
      </c>
      <c r="Y18" s="5" t="str">
        <f t="shared" si="0"/>
        <v>M</v>
      </c>
      <c r="Z18" s="6"/>
      <c r="AA18" s="7"/>
      <c r="AB18" s="7"/>
      <c r="AC18" s="7"/>
      <c r="AD18" s="7"/>
      <c r="AE18" s="7"/>
      <c r="AF18" s="7"/>
      <c r="AG18" s="7"/>
      <c r="AH18" s="7"/>
      <c r="AI18" s="7"/>
      <c r="AJ18" s="8"/>
      <c r="AK18" s="8"/>
      <c r="AL18" s="8"/>
      <c r="AM18" s="8"/>
      <c r="AN18" s="8"/>
      <c r="AO18" s="8"/>
      <c r="AP18" s="8"/>
      <c r="AQ18" s="8"/>
      <c r="AR18" s="8"/>
      <c r="AS18" s="8"/>
    </row>
    <row r="19" spans="1:45" ht="16" thickBot="1" x14ac:dyDescent="0.25">
      <c r="A19" s="9">
        <v>15</v>
      </c>
      <c r="B19" s="5" t="str">
        <f>TURNI!B19</f>
        <v>G</v>
      </c>
      <c r="C19" s="6"/>
      <c r="D19" s="7"/>
      <c r="E19" s="7"/>
      <c r="F19" s="7"/>
      <c r="G19" s="7"/>
      <c r="H19" s="7"/>
      <c r="I19" s="7"/>
      <c r="J19" s="7"/>
      <c r="K19" s="7"/>
      <c r="L19" s="7"/>
      <c r="M19" s="8" t="s">
        <v>28</v>
      </c>
      <c r="N19" s="8" t="s">
        <v>36</v>
      </c>
      <c r="O19" s="8" t="s">
        <v>37</v>
      </c>
      <c r="P19" s="8" t="s">
        <v>39</v>
      </c>
      <c r="Q19" s="8"/>
      <c r="R19" s="8"/>
      <c r="S19" s="8"/>
      <c r="T19" s="8"/>
      <c r="U19" s="8"/>
      <c r="V19" s="8"/>
      <c r="W19" s="11"/>
      <c r="X19" s="9">
        <v>15</v>
      </c>
      <c r="Y19" s="5" t="str">
        <f t="shared" si="0"/>
        <v>G</v>
      </c>
      <c r="Z19" s="6"/>
      <c r="AA19" s="7"/>
      <c r="AB19" s="7"/>
      <c r="AC19" s="7"/>
      <c r="AD19" s="7"/>
      <c r="AE19" s="7"/>
      <c r="AF19" s="7"/>
      <c r="AG19" s="7"/>
      <c r="AH19" s="7"/>
      <c r="AI19" s="7"/>
      <c r="AJ19" s="8"/>
      <c r="AK19" s="8"/>
      <c r="AL19" s="8"/>
      <c r="AM19" s="8"/>
      <c r="AN19" s="8"/>
      <c r="AO19" s="8"/>
      <c r="AP19" s="8"/>
      <c r="AQ19" s="8"/>
      <c r="AR19" s="8"/>
      <c r="AS19" s="8"/>
    </row>
    <row r="20" spans="1:45" ht="16" thickBot="1" x14ac:dyDescent="0.25">
      <c r="A20" s="10">
        <v>16</v>
      </c>
      <c r="B20" s="5" t="str">
        <f>TURNI!B20</f>
        <v>V</v>
      </c>
      <c r="C20" s="6"/>
      <c r="D20" s="7"/>
      <c r="E20" s="7"/>
      <c r="F20" s="7"/>
      <c r="G20" s="7"/>
      <c r="H20" s="7"/>
      <c r="I20" s="7"/>
      <c r="J20" s="7"/>
      <c r="K20" s="7"/>
      <c r="L20" s="7"/>
      <c r="M20" s="8" t="s">
        <v>27</v>
      </c>
      <c r="N20" s="8" t="s">
        <v>40</v>
      </c>
      <c r="O20" s="8" t="s">
        <v>34</v>
      </c>
      <c r="P20" s="8"/>
      <c r="Q20" s="8"/>
      <c r="R20" s="8"/>
      <c r="S20" s="8"/>
      <c r="T20" s="8"/>
      <c r="U20" s="8"/>
      <c r="V20" s="8"/>
      <c r="W20" s="11"/>
      <c r="X20" s="10">
        <v>16</v>
      </c>
      <c r="Y20" s="5" t="str">
        <f t="shared" si="0"/>
        <v>V</v>
      </c>
      <c r="Z20" s="6"/>
      <c r="AA20" s="7"/>
      <c r="AB20" s="7"/>
      <c r="AC20" s="7"/>
      <c r="AD20" s="7"/>
      <c r="AE20" s="7"/>
      <c r="AF20" s="7"/>
      <c r="AG20" s="7"/>
      <c r="AH20" s="7"/>
      <c r="AI20" s="7"/>
      <c r="AJ20" s="8"/>
      <c r="AK20" s="8"/>
      <c r="AL20" s="8"/>
      <c r="AM20" s="8"/>
      <c r="AN20" s="8"/>
      <c r="AO20" s="8"/>
      <c r="AP20" s="8"/>
      <c r="AQ20" s="8"/>
      <c r="AR20" s="8"/>
      <c r="AS20" s="8"/>
    </row>
    <row r="21" spans="1:45" ht="16" thickBot="1" x14ac:dyDescent="0.25">
      <c r="A21" s="10">
        <v>17</v>
      </c>
      <c r="B21" s="5" t="str">
        <f>TURNI!B21</f>
        <v>S</v>
      </c>
      <c r="C21" s="6"/>
      <c r="D21" s="7"/>
      <c r="E21" s="7"/>
      <c r="F21" s="7"/>
      <c r="G21" s="7"/>
      <c r="H21" s="7"/>
      <c r="I21" s="7"/>
      <c r="J21" s="7"/>
      <c r="K21" s="7"/>
      <c r="L21" s="7"/>
      <c r="M21" s="8"/>
      <c r="N21" s="8"/>
      <c r="O21" s="8"/>
      <c r="P21" s="8"/>
      <c r="Q21" s="8"/>
      <c r="R21" s="8"/>
      <c r="S21" s="8"/>
      <c r="T21" s="8"/>
      <c r="U21" s="8"/>
      <c r="V21" s="8"/>
      <c r="W21" s="11"/>
      <c r="X21" s="10">
        <v>17</v>
      </c>
      <c r="Y21" s="5" t="str">
        <f t="shared" si="0"/>
        <v>S</v>
      </c>
      <c r="Z21" s="6"/>
      <c r="AA21" s="7"/>
      <c r="AB21" s="7"/>
      <c r="AC21" s="7"/>
      <c r="AD21" s="7"/>
      <c r="AE21" s="7"/>
      <c r="AF21" s="7"/>
      <c r="AG21" s="7"/>
      <c r="AH21" s="7"/>
      <c r="AI21" s="7"/>
      <c r="AJ21" s="8"/>
      <c r="AK21" s="8"/>
      <c r="AL21" s="8"/>
      <c r="AM21" s="8"/>
      <c r="AN21" s="8"/>
      <c r="AO21" s="8"/>
      <c r="AP21" s="8"/>
      <c r="AQ21" s="8"/>
      <c r="AR21" s="8"/>
      <c r="AS21" s="8"/>
    </row>
    <row r="22" spans="1:45" ht="16" thickBot="1" x14ac:dyDescent="0.25">
      <c r="A22" s="9">
        <v>18</v>
      </c>
      <c r="B22" s="5" t="str">
        <f>TURNI!B22</f>
        <v>D</v>
      </c>
      <c r="C22" s="6"/>
      <c r="D22" s="7"/>
      <c r="E22" s="7"/>
      <c r="F22" s="7"/>
      <c r="G22" s="7"/>
      <c r="H22" s="7"/>
      <c r="I22" s="7"/>
      <c r="J22" s="7"/>
      <c r="K22" s="7"/>
      <c r="L22" s="7"/>
      <c r="M22" s="8"/>
      <c r="N22" s="8"/>
      <c r="O22" s="8"/>
      <c r="P22" s="8"/>
      <c r="Q22" s="8"/>
      <c r="R22" s="8"/>
      <c r="S22" s="8"/>
      <c r="T22" s="8"/>
      <c r="U22" s="8"/>
      <c r="V22" s="8"/>
      <c r="W22" s="11"/>
      <c r="X22" s="9">
        <v>18</v>
      </c>
      <c r="Y22" s="5" t="str">
        <f t="shared" si="0"/>
        <v>D</v>
      </c>
      <c r="Z22" s="6"/>
      <c r="AA22" s="7"/>
      <c r="AB22" s="7"/>
      <c r="AC22" s="7"/>
      <c r="AD22" s="7"/>
      <c r="AE22" s="7"/>
      <c r="AF22" s="7"/>
      <c r="AG22" s="7"/>
      <c r="AH22" s="7"/>
      <c r="AI22" s="7"/>
      <c r="AJ22" s="8"/>
      <c r="AK22" s="8"/>
      <c r="AL22" s="8"/>
      <c r="AM22" s="8"/>
      <c r="AN22" s="8"/>
      <c r="AO22" s="8"/>
      <c r="AP22" s="8"/>
      <c r="AQ22" s="8"/>
      <c r="AR22" s="8"/>
      <c r="AS22" s="8"/>
    </row>
    <row r="23" spans="1:45" ht="16" thickBot="1" x14ac:dyDescent="0.25">
      <c r="A23" s="9">
        <v>19</v>
      </c>
      <c r="B23" s="5" t="str">
        <f>TURNI!B23</f>
        <v>L</v>
      </c>
      <c r="C23" s="6"/>
      <c r="D23" s="7"/>
      <c r="E23" s="7"/>
      <c r="F23" s="7"/>
      <c r="G23" s="7"/>
      <c r="H23" s="7"/>
      <c r="I23" s="7"/>
      <c r="J23" s="7"/>
      <c r="K23" s="7"/>
      <c r="L23" s="7"/>
      <c r="M23" s="8" t="s">
        <v>38</v>
      </c>
      <c r="N23" s="8" t="s">
        <v>36</v>
      </c>
      <c r="O23" s="8" t="s">
        <v>33</v>
      </c>
      <c r="P23" s="8"/>
      <c r="Q23" s="8"/>
      <c r="R23" s="8"/>
      <c r="S23" s="8"/>
      <c r="T23" s="8"/>
      <c r="U23" s="8"/>
      <c r="V23" s="8"/>
      <c r="W23" s="11"/>
      <c r="X23" s="9">
        <v>19</v>
      </c>
      <c r="Y23" s="5" t="str">
        <f t="shared" si="0"/>
        <v>L</v>
      </c>
      <c r="Z23" s="6"/>
      <c r="AA23" s="7"/>
      <c r="AB23" s="7"/>
      <c r="AC23" s="7"/>
      <c r="AD23" s="7"/>
      <c r="AE23" s="7"/>
      <c r="AF23" s="7"/>
      <c r="AG23" s="7"/>
      <c r="AH23" s="7"/>
      <c r="AI23" s="7"/>
      <c r="AJ23" s="8" t="s">
        <v>36</v>
      </c>
      <c r="AK23" s="8"/>
      <c r="AL23" s="8"/>
      <c r="AM23" s="8"/>
      <c r="AN23" s="8"/>
      <c r="AO23" s="8"/>
      <c r="AP23" s="8"/>
      <c r="AQ23" s="8"/>
      <c r="AR23" s="8"/>
      <c r="AS23" s="8"/>
    </row>
    <row r="24" spans="1:45" ht="16" thickBot="1" x14ac:dyDescent="0.25">
      <c r="A24" s="9">
        <v>20</v>
      </c>
      <c r="B24" s="5" t="str">
        <f>TURNI!B24</f>
        <v>MA</v>
      </c>
      <c r="C24" s="6"/>
      <c r="D24" s="7"/>
      <c r="E24" s="7"/>
      <c r="F24" s="7"/>
      <c r="G24" s="7"/>
      <c r="H24" s="7"/>
      <c r="I24" s="7"/>
      <c r="J24" s="7"/>
      <c r="K24" s="7"/>
      <c r="L24" s="7"/>
      <c r="M24" s="8" t="s">
        <v>28</v>
      </c>
      <c r="N24" s="8" t="s">
        <v>40</v>
      </c>
      <c r="O24" s="8"/>
      <c r="P24" s="8"/>
      <c r="Q24" s="8"/>
      <c r="R24" s="8"/>
      <c r="S24" s="8"/>
      <c r="T24" s="8"/>
      <c r="U24" s="8"/>
      <c r="V24" s="8"/>
      <c r="W24" s="11"/>
      <c r="X24" s="9">
        <v>20</v>
      </c>
      <c r="Y24" s="5" t="str">
        <f t="shared" si="0"/>
        <v>MA</v>
      </c>
      <c r="Z24" s="6"/>
      <c r="AA24" s="7"/>
      <c r="AB24" s="7"/>
      <c r="AC24" s="7"/>
      <c r="AD24" s="7"/>
      <c r="AE24" s="7"/>
      <c r="AF24" s="7"/>
      <c r="AG24" s="7"/>
      <c r="AH24" s="7"/>
      <c r="AI24" s="7"/>
      <c r="AJ24" s="8"/>
      <c r="AK24" s="8"/>
      <c r="AL24" s="8"/>
      <c r="AM24" s="8"/>
      <c r="AN24" s="8"/>
      <c r="AO24" s="8"/>
      <c r="AP24" s="8"/>
      <c r="AQ24" s="8"/>
      <c r="AR24" s="8"/>
      <c r="AS24" s="8"/>
    </row>
    <row r="25" spans="1:45" ht="16" thickBot="1" x14ac:dyDescent="0.25">
      <c r="A25" s="9">
        <v>21</v>
      </c>
      <c r="B25" s="5" t="str">
        <f>TURNI!B25</f>
        <v>M</v>
      </c>
      <c r="C25" s="6"/>
      <c r="D25" s="7"/>
      <c r="E25" s="7"/>
      <c r="F25" s="7"/>
      <c r="G25" s="7"/>
      <c r="H25" s="7"/>
      <c r="I25" s="7"/>
      <c r="J25" s="7"/>
      <c r="K25" s="7"/>
      <c r="L25" s="7"/>
      <c r="M25" s="8" t="s">
        <v>27</v>
      </c>
      <c r="N25" s="8" t="s">
        <v>26</v>
      </c>
      <c r="O25" s="8"/>
      <c r="P25" s="8"/>
      <c r="Q25" s="8"/>
      <c r="R25" s="8"/>
      <c r="S25" s="8"/>
      <c r="T25" s="8"/>
      <c r="U25" s="8"/>
      <c r="V25" s="8"/>
      <c r="W25" s="11"/>
      <c r="X25" s="9">
        <v>21</v>
      </c>
      <c r="Y25" s="5" t="str">
        <f t="shared" si="0"/>
        <v>M</v>
      </c>
      <c r="Z25" s="6"/>
      <c r="AA25" s="7"/>
      <c r="AB25" s="7"/>
      <c r="AC25" s="7"/>
      <c r="AD25" s="7"/>
      <c r="AE25" s="7"/>
      <c r="AF25" s="7"/>
      <c r="AG25" s="7"/>
      <c r="AH25" s="7"/>
      <c r="AI25" s="7"/>
      <c r="AJ25" s="8"/>
      <c r="AK25" s="8"/>
      <c r="AL25" s="8"/>
      <c r="AM25" s="8"/>
      <c r="AN25" s="8"/>
      <c r="AO25" s="8"/>
      <c r="AP25" s="8"/>
      <c r="AQ25" s="8"/>
      <c r="AR25" s="8"/>
      <c r="AS25" s="8"/>
    </row>
    <row r="26" spans="1:45" ht="16" thickBot="1" x14ac:dyDescent="0.25">
      <c r="A26" s="9">
        <v>22</v>
      </c>
      <c r="B26" s="5" t="str">
        <f>TURNI!B26</f>
        <v>G</v>
      </c>
      <c r="C26" s="6"/>
      <c r="D26" s="7"/>
      <c r="E26" s="7"/>
      <c r="F26" s="7"/>
      <c r="G26" s="7"/>
      <c r="H26" s="7"/>
      <c r="I26" s="7"/>
      <c r="J26" s="7"/>
      <c r="K26" s="7"/>
      <c r="L26" s="7"/>
      <c r="M26" s="8" t="s">
        <v>28</v>
      </c>
      <c r="N26" s="8" t="s">
        <v>36</v>
      </c>
      <c r="O26" s="8" t="s">
        <v>37</v>
      </c>
      <c r="P26" s="8" t="s">
        <v>39</v>
      </c>
      <c r="Q26" s="8"/>
      <c r="R26" s="8"/>
      <c r="S26" s="8"/>
      <c r="T26" s="8"/>
      <c r="U26" s="8"/>
      <c r="V26" s="8"/>
      <c r="W26" s="11"/>
      <c r="X26" s="9">
        <v>22</v>
      </c>
      <c r="Y26" s="5" t="str">
        <f t="shared" si="0"/>
        <v>G</v>
      </c>
      <c r="Z26" s="6"/>
      <c r="AA26" s="7"/>
      <c r="AB26" s="7"/>
      <c r="AC26" s="7"/>
      <c r="AD26" s="7"/>
      <c r="AE26" s="7"/>
      <c r="AF26" s="7"/>
      <c r="AG26" s="7"/>
      <c r="AH26" s="7"/>
      <c r="AI26" s="7"/>
      <c r="AJ26" s="8"/>
      <c r="AK26" s="8"/>
      <c r="AL26" s="8"/>
      <c r="AM26" s="8"/>
      <c r="AN26" s="8"/>
      <c r="AO26" s="8"/>
      <c r="AP26" s="8"/>
      <c r="AQ26" s="8"/>
      <c r="AR26" s="8"/>
      <c r="AS26" s="8"/>
    </row>
    <row r="27" spans="1:45" ht="16" thickBot="1" x14ac:dyDescent="0.25">
      <c r="A27" s="10">
        <v>23</v>
      </c>
      <c r="B27" s="5" t="str">
        <f>TURNI!B27</f>
        <v>V</v>
      </c>
      <c r="C27" s="6"/>
      <c r="D27" s="7"/>
      <c r="E27" s="7"/>
      <c r="F27" s="7"/>
      <c r="G27" s="7"/>
      <c r="H27" s="7"/>
      <c r="I27" s="7"/>
      <c r="J27" s="7"/>
      <c r="K27" s="7"/>
      <c r="L27" s="7"/>
      <c r="M27" s="8" t="s">
        <v>27</v>
      </c>
      <c r="N27" s="8" t="s">
        <v>40</v>
      </c>
      <c r="O27" s="8" t="s">
        <v>34</v>
      </c>
      <c r="P27" s="8"/>
      <c r="Q27" s="8"/>
      <c r="R27" s="8"/>
      <c r="S27" s="8"/>
      <c r="T27" s="8"/>
      <c r="U27" s="8"/>
      <c r="V27" s="8"/>
      <c r="W27" s="11"/>
      <c r="X27" s="10">
        <v>23</v>
      </c>
      <c r="Y27" s="5" t="str">
        <f t="shared" si="0"/>
        <v>V</v>
      </c>
      <c r="Z27" s="6"/>
      <c r="AA27" s="7"/>
      <c r="AB27" s="7"/>
      <c r="AC27" s="7"/>
      <c r="AD27" s="7"/>
      <c r="AE27" s="7"/>
      <c r="AF27" s="7"/>
      <c r="AG27" s="7"/>
      <c r="AH27" s="7"/>
      <c r="AI27" s="7"/>
      <c r="AJ27" s="8"/>
      <c r="AK27" s="8"/>
      <c r="AL27" s="8"/>
      <c r="AM27" s="8"/>
      <c r="AN27" s="8"/>
      <c r="AO27" s="8"/>
      <c r="AP27" s="8"/>
      <c r="AQ27" s="8"/>
      <c r="AR27" s="8"/>
      <c r="AS27" s="8"/>
    </row>
    <row r="28" spans="1:45" ht="16" thickBot="1" x14ac:dyDescent="0.25">
      <c r="A28" s="10">
        <v>24</v>
      </c>
      <c r="B28" s="5" t="str">
        <f>TURNI!B28</f>
        <v>S</v>
      </c>
      <c r="C28" s="6"/>
      <c r="D28" s="7"/>
      <c r="E28" s="7"/>
      <c r="F28" s="7"/>
      <c r="G28" s="7"/>
      <c r="H28" s="7"/>
      <c r="I28" s="7"/>
      <c r="J28" s="7"/>
      <c r="K28" s="7"/>
      <c r="L28" s="7"/>
      <c r="M28" s="8"/>
      <c r="N28" s="8"/>
      <c r="O28" s="8"/>
      <c r="P28" s="8"/>
      <c r="Q28" s="8"/>
      <c r="R28" s="8"/>
      <c r="S28" s="8"/>
      <c r="T28" s="8"/>
      <c r="U28" s="8"/>
      <c r="V28" s="8"/>
      <c r="W28" s="11"/>
      <c r="X28" s="10">
        <v>24</v>
      </c>
      <c r="Y28" s="5" t="str">
        <f t="shared" si="0"/>
        <v>S</v>
      </c>
      <c r="Z28" s="6"/>
      <c r="AA28" s="7"/>
      <c r="AB28" s="7"/>
      <c r="AC28" s="7"/>
      <c r="AD28" s="7"/>
      <c r="AE28" s="7"/>
      <c r="AF28" s="7"/>
      <c r="AG28" s="7"/>
      <c r="AH28" s="7"/>
      <c r="AI28" s="7"/>
      <c r="AJ28" s="8"/>
      <c r="AK28" s="8"/>
      <c r="AL28" s="8"/>
      <c r="AM28" s="8"/>
      <c r="AN28" s="8"/>
      <c r="AO28" s="8"/>
      <c r="AP28" s="8"/>
      <c r="AQ28" s="8"/>
      <c r="AR28" s="8"/>
      <c r="AS28" s="8"/>
    </row>
    <row r="29" spans="1:45" ht="16" thickBot="1" x14ac:dyDescent="0.25">
      <c r="A29" s="10">
        <v>25</v>
      </c>
      <c r="B29" s="5" t="str">
        <f>TURNI!B29</f>
        <v>D</v>
      </c>
      <c r="C29" s="6"/>
      <c r="D29" s="7"/>
      <c r="E29" s="7"/>
      <c r="F29" s="7"/>
      <c r="G29" s="7"/>
      <c r="H29" s="7"/>
      <c r="I29" s="7"/>
      <c r="J29" s="7"/>
      <c r="K29" s="7"/>
      <c r="L29" s="7"/>
      <c r="M29" s="8"/>
      <c r="N29" s="8"/>
      <c r="O29" s="8"/>
      <c r="P29" s="8"/>
      <c r="Q29" s="8"/>
      <c r="R29" s="8"/>
      <c r="S29" s="8"/>
      <c r="T29" s="8"/>
      <c r="U29" s="8"/>
      <c r="V29" s="8"/>
      <c r="W29" s="11"/>
      <c r="X29" s="10">
        <v>25</v>
      </c>
      <c r="Y29" s="5" t="str">
        <f t="shared" si="0"/>
        <v>D</v>
      </c>
      <c r="Z29" s="6"/>
      <c r="AA29" s="7"/>
      <c r="AB29" s="7"/>
      <c r="AC29" s="7"/>
      <c r="AD29" s="7"/>
      <c r="AE29" s="7"/>
      <c r="AF29" s="7"/>
      <c r="AG29" s="7"/>
      <c r="AH29" s="7"/>
      <c r="AI29" s="7"/>
      <c r="AJ29" s="8"/>
      <c r="AK29" s="8"/>
      <c r="AL29" s="8"/>
      <c r="AM29" s="8"/>
      <c r="AN29" s="8"/>
      <c r="AO29" s="8"/>
      <c r="AP29" s="8"/>
      <c r="AQ29" s="8"/>
      <c r="AR29" s="8"/>
      <c r="AS29" s="8"/>
    </row>
    <row r="30" spans="1:45" ht="16" thickBot="1" x14ac:dyDescent="0.25">
      <c r="A30" s="10">
        <v>26</v>
      </c>
      <c r="B30" s="5" t="str">
        <f>TURNI!B30</f>
        <v>L</v>
      </c>
      <c r="C30" s="6"/>
      <c r="D30" s="7"/>
      <c r="E30" s="7"/>
      <c r="F30" s="7"/>
      <c r="G30" s="7"/>
      <c r="H30" s="7"/>
      <c r="I30" s="7"/>
      <c r="J30" s="7"/>
      <c r="K30" s="7"/>
      <c r="L30" s="7"/>
      <c r="M30" s="8"/>
      <c r="N30" s="8" t="s">
        <v>36</v>
      </c>
      <c r="O30" s="8" t="s">
        <v>33</v>
      </c>
      <c r="P30" s="8"/>
      <c r="Q30" s="8"/>
      <c r="R30" s="8"/>
      <c r="S30" s="8"/>
      <c r="T30" s="8"/>
      <c r="U30" s="8"/>
      <c r="V30" s="8"/>
      <c r="W30" s="11"/>
      <c r="X30" s="10">
        <v>26</v>
      </c>
      <c r="Y30" s="5" t="str">
        <f t="shared" si="0"/>
        <v>L</v>
      </c>
      <c r="Z30" s="6"/>
      <c r="AA30" s="7"/>
      <c r="AB30" s="7"/>
      <c r="AC30" s="7"/>
      <c r="AD30" s="7"/>
      <c r="AE30" s="7"/>
      <c r="AF30" s="7"/>
      <c r="AG30" s="7"/>
      <c r="AH30" s="7"/>
      <c r="AI30" s="7"/>
      <c r="AJ30" s="8" t="s">
        <v>36</v>
      </c>
      <c r="AK30" s="8"/>
      <c r="AL30" s="8"/>
      <c r="AM30" s="8"/>
      <c r="AN30" s="8"/>
      <c r="AO30" s="8"/>
      <c r="AP30" s="8"/>
      <c r="AQ30" s="8"/>
      <c r="AR30" s="8"/>
      <c r="AS30" s="8"/>
    </row>
    <row r="31" spans="1:45" ht="16" thickBot="1" x14ac:dyDescent="0.25">
      <c r="A31" s="9">
        <v>27</v>
      </c>
      <c r="B31" s="5" t="str">
        <f>TURNI!B31</f>
        <v>MA</v>
      </c>
      <c r="C31" s="6"/>
      <c r="D31" s="7"/>
      <c r="E31" s="7"/>
      <c r="F31" s="7"/>
      <c r="G31" s="7"/>
      <c r="H31" s="7"/>
      <c r="I31" s="7"/>
      <c r="J31" s="7"/>
      <c r="K31" s="7"/>
      <c r="L31" s="7"/>
      <c r="M31" s="8" t="s">
        <v>28</v>
      </c>
      <c r="N31" s="8" t="s">
        <v>40</v>
      </c>
      <c r="O31" s="8"/>
      <c r="P31" s="8"/>
      <c r="Q31" s="8"/>
      <c r="R31" s="8"/>
      <c r="S31" s="8"/>
      <c r="T31" s="8"/>
      <c r="U31" s="8"/>
      <c r="V31" s="8"/>
      <c r="W31" s="11"/>
      <c r="X31" s="9">
        <v>27</v>
      </c>
      <c r="Y31" s="5" t="str">
        <f t="shared" si="0"/>
        <v>MA</v>
      </c>
      <c r="Z31" s="6"/>
      <c r="AA31" s="7"/>
      <c r="AB31" s="7"/>
      <c r="AC31" s="7"/>
      <c r="AD31" s="7"/>
      <c r="AE31" s="7"/>
      <c r="AF31" s="7"/>
      <c r="AG31" s="7"/>
      <c r="AH31" s="7"/>
      <c r="AI31" s="7"/>
      <c r="AJ31" s="8"/>
      <c r="AK31" s="8"/>
      <c r="AL31" s="8"/>
      <c r="AM31" s="8"/>
      <c r="AN31" s="8"/>
      <c r="AO31" s="8"/>
      <c r="AP31" s="8"/>
      <c r="AQ31" s="8"/>
      <c r="AR31" s="8"/>
      <c r="AS31" s="8"/>
    </row>
    <row r="32" spans="1:45" ht="16" thickBot="1" x14ac:dyDescent="0.25">
      <c r="A32" s="9">
        <v>28</v>
      </c>
      <c r="B32" s="5" t="str">
        <f>TURNI!B32</f>
        <v>M</v>
      </c>
      <c r="C32" s="6"/>
      <c r="D32" s="7"/>
      <c r="E32" s="7"/>
      <c r="F32" s="7"/>
      <c r="G32" s="7"/>
      <c r="H32" s="7"/>
      <c r="I32" s="7"/>
      <c r="J32" s="7"/>
      <c r="K32" s="7"/>
      <c r="L32" s="7"/>
      <c r="M32" s="8" t="s">
        <v>27</v>
      </c>
      <c r="N32" s="8" t="s">
        <v>26</v>
      </c>
      <c r="O32" s="8"/>
      <c r="P32" s="8"/>
      <c r="Q32" s="8"/>
      <c r="R32" s="8"/>
      <c r="S32" s="8"/>
      <c r="T32" s="8"/>
      <c r="U32" s="8"/>
      <c r="V32" s="8"/>
      <c r="W32" s="11"/>
      <c r="X32" s="9">
        <v>28</v>
      </c>
      <c r="Y32" s="5" t="str">
        <f t="shared" si="0"/>
        <v>M</v>
      </c>
      <c r="Z32" s="6"/>
      <c r="AA32" s="7"/>
      <c r="AB32" s="7"/>
      <c r="AC32" s="7"/>
      <c r="AD32" s="7"/>
      <c r="AE32" s="7"/>
      <c r="AF32" s="7"/>
      <c r="AG32" s="7"/>
      <c r="AH32" s="7"/>
      <c r="AI32" s="7"/>
      <c r="AJ32" s="8"/>
      <c r="AK32" s="8"/>
      <c r="AL32" s="8"/>
      <c r="AM32" s="8"/>
      <c r="AN32" s="8"/>
      <c r="AO32" s="8"/>
      <c r="AP32" s="8"/>
      <c r="AQ32" s="8"/>
      <c r="AR32" s="8"/>
      <c r="AS32" s="8"/>
    </row>
    <row r="33" spans="1:45" ht="16" thickBot="1" x14ac:dyDescent="0.25">
      <c r="A33" s="9">
        <v>29</v>
      </c>
      <c r="B33" s="5" t="str">
        <f>TURNI!B33</f>
        <v>G</v>
      </c>
      <c r="C33" s="6"/>
      <c r="D33" s="7"/>
      <c r="E33" s="7"/>
      <c r="F33" s="7"/>
      <c r="G33" s="7"/>
      <c r="H33" s="7"/>
      <c r="I33" s="7"/>
      <c r="J33" s="7"/>
      <c r="K33" s="7"/>
      <c r="L33" s="7"/>
      <c r="M33" s="8" t="s">
        <v>28</v>
      </c>
      <c r="N33" s="8" t="s">
        <v>36</v>
      </c>
      <c r="O33" s="8" t="s">
        <v>37</v>
      </c>
      <c r="P33" s="8" t="s">
        <v>39</v>
      </c>
      <c r="Q33" s="8"/>
      <c r="R33" s="8"/>
      <c r="S33" s="8"/>
      <c r="T33" s="8"/>
      <c r="U33" s="8"/>
      <c r="V33" s="8"/>
      <c r="W33" s="11"/>
      <c r="X33" s="9">
        <v>29</v>
      </c>
      <c r="Y33" s="5" t="str">
        <f t="shared" si="0"/>
        <v>G</v>
      </c>
      <c r="Z33" s="6"/>
      <c r="AA33" s="7"/>
      <c r="AB33" s="7"/>
      <c r="AC33" s="7"/>
      <c r="AD33" s="7"/>
      <c r="AE33" s="7"/>
      <c r="AF33" s="7"/>
      <c r="AG33" s="7"/>
      <c r="AH33" s="7"/>
      <c r="AI33" s="7"/>
      <c r="AJ33" s="8"/>
      <c r="AK33" s="8"/>
      <c r="AL33" s="8"/>
      <c r="AM33" s="8"/>
      <c r="AN33" s="8"/>
      <c r="AO33" s="8"/>
      <c r="AP33" s="8"/>
      <c r="AQ33" s="8"/>
      <c r="AR33" s="8"/>
      <c r="AS33" s="8"/>
    </row>
    <row r="34" spans="1:45" ht="16" thickBot="1" x14ac:dyDescent="0.25">
      <c r="A34" s="10">
        <v>30</v>
      </c>
      <c r="B34" s="5" t="str">
        <f>TURNI!B34</f>
        <v>V</v>
      </c>
      <c r="C34" s="6"/>
      <c r="D34" s="7"/>
      <c r="E34" s="7"/>
      <c r="F34" s="7"/>
      <c r="G34" s="7"/>
      <c r="H34" s="7"/>
      <c r="I34" s="7"/>
      <c r="J34" s="7"/>
      <c r="K34" s="7"/>
      <c r="L34" s="7"/>
      <c r="M34" s="8" t="s">
        <v>27</v>
      </c>
      <c r="N34" s="8" t="s">
        <v>40</v>
      </c>
      <c r="O34" s="8" t="s">
        <v>34</v>
      </c>
      <c r="P34" s="8"/>
      <c r="Q34" s="8"/>
      <c r="R34" s="8"/>
      <c r="S34" s="8"/>
      <c r="T34" s="8"/>
      <c r="U34" s="8"/>
      <c r="V34" s="8"/>
      <c r="W34" s="11"/>
      <c r="X34" s="10">
        <v>30</v>
      </c>
      <c r="Y34" s="5" t="s">
        <v>42</v>
      </c>
      <c r="Z34" s="6"/>
      <c r="AA34" s="7"/>
      <c r="AB34" s="7"/>
      <c r="AC34" s="7"/>
      <c r="AD34" s="7"/>
      <c r="AE34" s="7"/>
      <c r="AF34" s="7"/>
      <c r="AG34" s="7"/>
      <c r="AH34" s="7"/>
      <c r="AI34" s="7"/>
      <c r="AJ34" s="8"/>
      <c r="AK34" s="8"/>
      <c r="AL34" s="8"/>
      <c r="AM34" s="8"/>
      <c r="AN34" s="8"/>
      <c r="AO34" s="8"/>
      <c r="AP34" s="8"/>
      <c r="AQ34" s="8"/>
      <c r="AR34" s="8"/>
      <c r="AS34" s="8"/>
    </row>
    <row r="35" spans="1:45" ht="16" thickBot="1" x14ac:dyDescent="0.25">
      <c r="A35" s="10">
        <v>31</v>
      </c>
      <c r="B35" s="5" t="str">
        <f>TURNI!B35</f>
        <v>S</v>
      </c>
      <c r="C35" s="6"/>
      <c r="D35" s="6"/>
      <c r="E35" s="6"/>
      <c r="F35" s="6"/>
      <c r="G35" s="6"/>
      <c r="H35" s="6"/>
      <c r="I35" s="6"/>
      <c r="J35" s="6"/>
      <c r="K35" s="6"/>
      <c r="L35" s="6"/>
      <c r="M35" s="8"/>
      <c r="N35" s="8"/>
      <c r="O35" s="8"/>
      <c r="P35" s="8"/>
      <c r="Q35" s="8"/>
      <c r="R35" s="8"/>
      <c r="S35" s="8"/>
      <c r="T35" s="8"/>
      <c r="U35" s="8"/>
      <c r="V35" s="8"/>
      <c r="W35" s="11"/>
      <c r="X35" s="10">
        <v>31</v>
      </c>
      <c r="Y35" s="5" t="s">
        <v>43</v>
      </c>
      <c r="Z35" s="20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</row>
    <row r="36" spans="1:45" ht="16" thickBot="1" x14ac:dyDescent="0.25">
      <c r="B36" s="5"/>
    </row>
  </sheetData>
  <mergeCells count="8">
    <mergeCell ref="A1:B4"/>
    <mergeCell ref="X1:Y4"/>
    <mergeCell ref="Z3:AI4"/>
    <mergeCell ref="AJ3:AS4"/>
    <mergeCell ref="Z1:AS2"/>
    <mergeCell ref="C1:V2"/>
    <mergeCell ref="C3:L4"/>
    <mergeCell ref="M3:V4"/>
  </mergeCells>
  <conditionalFormatting sqref="B5:B35">
    <cfRule type="cellIs" dxfId="84" priority="1" operator="equal">
      <formula>"D"</formula>
    </cfRule>
    <cfRule type="containsText" dxfId="83" priority="2" operator="containsText" text="S">
      <formula>NOT(ISERROR(SEARCH("S",B5)))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259A594F-0420-4C03-AE81-7A637DCDE9F0}">
          <x14:formula1>
            <xm:f>SETUP!$A$1:$A$17</xm:f>
          </x14:formula1>
          <xm:sqref>Z5:AS35 C5:V35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3E80-C0F2-497A-BACC-92A3B38BFAB1}">
  <sheetPr codeName="Sheet3">
    <pageSetUpPr fitToPage="1"/>
  </sheetPr>
  <dimension ref="A1:Q34"/>
  <sheetViews>
    <sheetView tabSelected="1" topLeftCell="A4" zoomScale="125" zoomScaleNormal="70" workbookViewId="0">
      <selection activeCell="H16" sqref="H16"/>
    </sheetView>
  </sheetViews>
  <sheetFormatPr baseColWidth="10" defaultColWidth="8.83203125" defaultRowHeight="15" x14ac:dyDescent="0.2"/>
  <cols>
    <col min="1" max="1" width="5" customWidth="1"/>
    <col min="2" max="2" width="4.33203125" customWidth="1"/>
    <col min="5" max="5" width="7.33203125" bestFit="1" customWidth="1"/>
    <col min="15" max="15" width="9.6640625" customWidth="1"/>
    <col min="17" max="17" width="21.33203125" customWidth="1"/>
  </cols>
  <sheetData>
    <row r="1" spans="1:17" ht="16" thickBot="1" x14ac:dyDescent="0.25">
      <c r="A1" s="191" t="s">
        <v>70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</row>
    <row r="2" spans="1:17" ht="16" thickBot="1" x14ac:dyDescent="0.25">
      <c r="A2" s="187" t="s">
        <v>0</v>
      </c>
      <c r="B2" s="188"/>
      <c r="C2" s="187" t="s">
        <v>46</v>
      </c>
      <c r="D2" s="188"/>
      <c r="E2" s="67" t="s">
        <v>2</v>
      </c>
      <c r="F2" s="67" t="s">
        <v>47</v>
      </c>
      <c r="G2" s="67" t="s">
        <v>5</v>
      </c>
      <c r="H2" s="67" t="s">
        <v>63</v>
      </c>
      <c r="I2" s="187" t="s">
        <v>45</v>
      </c>
      <c r="J2" s="188"/>
      <c r="K2" s="66" t="s">
        <v>7</v>
      </c>
      <c r="L2" s="67" t="s">
        <v>8</v>
      </c>
      <c r="M2" s="67" t="s">
        <v>9</v>
      </c>
      <c r="N2" s="67" t="s">
        <v>3</v>
      </c>
      <c r="O2" s="66" t="s">
        <v>48</v>
      </c>
      <c r="P2" s="66" t="s">
        <v>49</v>
      </c>
      <c r="Q2" s="67" t="s">
        <v>50</v>
      </c>
    </row>
    <row r="3" spans="1:17" ht="23" customHeight="1" thickBot="1" x14ac:dyDescent="0.25">
      <c r="A3" s="189"/>
      <c r="B3" s="190"/>
      <c r="C3" s="68" t="s">
        <v>51</v>
      </c>
      <c r="D3" s="68" t="s">
        <v>52</v>
      </c>
      <c r="E3" s="68" t="s">
        <v>51</v>
      </c>
      <c r="F3" s="68" t="s">
        <v>51</v>
      </c>
      <c r="G3" s="68" t="s">
        <v>51</v>
      </c>
      <c r="H3" s="68" t="s">
        <v>51</v>
      </c>
      <c r="I3" s="68" t="s">
        <v>51</v>
      </c>
      <c r="J3" s="69" t="s">
        <v>20</v>
      </c>
      <c r="K3" s="68" t="s">
        <v>51</v>
      </c>
      <c r="L3" s="68" t="s">
        <v>51</v>
      </c>
      <c r="M3" s="68" t="s">
        <v>51</v>
      </c>
      <c r="N3" s="68" t="s">
        <v>51</v>
      </c>
      <c r="O3" s="68" t="s">
        <v>53</v>
      </c>
      <c r="P3" s="68"/>
      <c r="Q3" s="70"/>
    </row>
    <row r="4" spans="1:17" s="75" customFormat="1" ht="16" thickBot="1" x14ac:dyDescent="0.25">
      <c r="A4" s="104">
        <v>1</v>
      </c>
      <c r="B4" s="105" t="str">
        <f>TURNI!B5</f>
        <v>G</v>
      </c>
      <c r="C4" s="102" t="str">
        <f>CONCATENATE(TURNI!C5," ",TURNI!D5)</f>
        <v xml:space="preserve"> </v>
      </c>
      <c r="D4" s="102" t="str">
        <f>CONCATENATE(TURNI!AA5," ",TURNI!AB5)</f>
        <v xml:space="preserve"> </v>
      </c>
      <c r="E4" s="102" t="str">
        <f>CONCATENATE(TURNI!E5," ",TURNI!F5)</f>
        <v xml:space="preserve"> </v>
      </c>
      <c r="F4" s="102" t="str">
        <f>CONCATENATE(TURNI!I5," ",TURNI!J5)</f>
        <v xml:space="preserve"> </v>
      </c>
      <c r="G4" s="102" t="str">
        <f>CONCATENATE(TURNI!K5)</f>
        <v/>
      </c>
      <c r="H4" s="102" t="str">
        <f>CONCATENATE(TURNI!L5)</f>
        <v/>
      </c>
      <c r="I4" s="102" t="str">
        <f>CONCATENATE(TURNI!Q5," ",TURNI!R5," ",TURNI!S5," ",TURNI!T5," ",TURNI!U5)</f>
        <v xml:space="preserve">    </v>
      </c>
      <c r="J4" s="102" t="str">
        <f>CONCATENATE(TURNI!V5," ",TURNI!W5," ",TURNI!X5," ",TURNI!Y5," ",TURNI!Z5)</f>
        <v xml:space="preserve">    </v>
      </c>
      <c r="K4" s="102" t="str">
        <f>CONCATENATE(TURNI!M5," ",TURNI!N5)</f>
        <v xml:space="preserve"> </v>
      </c>
      <c r="L4" s="102" t="str">
        <f>CONCATENATE(TURNI!O5)</f>
        <v/>
      </c>
      <c r="M4" s="102" t="str">
        <f>CONCATENATE(TURNI!P5)</f>
        <v/>
      </c>
      <c r="N4" s="102" t="str">
        <f>CONCATENATE(TURNI!G5," ",TURNI!H5)</f>
        <v xml:space="preserve"> SES </v>
      </c>
      <c r="O4" s="102" t="str">
        <f>CONCATENATE(TURNI!AC5," ",TURNI!AD5)</f>
        <v xml:space="preserve">SES </v>
      </c>
      <c r="P4" s="102" t="str">
        <f>CONCATENATE(TURNI!AE5)</f>
        <v>MAS</v>
      </c>
      <c r="Q4" s="102" t="str">
        <f>(CONCATENATE(TURNI!AF5," ",TURNI!AG5," ",TURNI!AH5," ",TURNI!AI5," ",TURNI!AJ5," ",TURNI!AK5," ",TURNI!AL5," ",TURNI!AM5," ",TURNI!AN5," ",TURNI!AO5))</f>
        <v xml:space="preserve">RUS OGG MAG CUR      </v>
      </c>
    </row>
    <row r="5" spans="1:17" ht="16" thickBot="1" x14ac:dyDescent="0.25">
      <c r="A5" s="97">
        <v>2</v>
      </c>
      <c r="B5" s="98" t="str">
        <f>TURNI!B6</f>
        <v>V</v>
      </c>
      <c r="C5" s="96" t="str">
        <f>CONCATENATE(TURNI!C6," ",TURNI!D6)</f>
        <v>MAS BON</v>
      </c>
      <c r="D5" s="96" t="str">
        <f>CONCATENATE(TURNI!AA6," ",TURNI!AB6)</f>
        <v xml:space="preserve">X </v>
      </c>
      <c r="E5" s="96" t="str">
        <f>CONCATENATE(TURNI!E6," ",TURNI!F6)</f>
        <v xml:space="preserve">SES </v>
      </c>
      <c r="F5" s="96" t="str">
        <f>CONCATENATE(TURNI!I6," ",TURNI!J6)</f>
        <v xml:space="preserve"> </v>
      </c>
      <c r="G5" s="96" t="str">
        <f>CONCATENATE(TURNI!K6)</f>
        <v>PAS</v>
      </c>
      <c r="H5" s="96" t="str">
        <f>CONCATENATE(TURNI!L6)</f>
        <v>PAS</v>
      </c>
      <c r="I5" s="96" t="str">
        <f>CONCATENATE(TURNI!Q6," ",TURNI!R6," ",TURNI!S6," ",TURNI!T6," ",TURNI!U6)</f>
        <v xml:space="preserve">X    </v>
      </c>
      <c r="J5" s="96" t="str">
        <f>CONCATENATE(TURNI!V6," ",TURNI!W6," ",TURNI!X6," ",TURNI!Y6," ",TURNI!Z6)</f>
        <v xml:space="preserve">X    </v>
      </c>
      <c r="K5" s="96" t="str">
        <f>CONCATENATE(TURNI!M6," ",TURNI!N6)</f>
        <v xml:space="preserve"> </v>
      </c>
      <c r="L5" s="96" t="str">
        <f>CONCATENATE(TURNI!O6)</f>
        <v/>
      </c>
      <c r="M5" s="96" t="str">
        <f>CONCATENATE(TURNI!P6)</f>
        <v/>
      </c>
      <c r="N5" s="98" t="str">
        <f>CONCATENATE(TURNI!G6," ",TURNI!H6)</f>
        <v xml:space="preserve">DON </v>
      </c>
      <c r="O5" s="98" t="str">
        <f>CONCATENATE(TURNI!AC6," ",TURNI!AD6)</f>
        <v xml:space="preserve">FUM </v>
      </c>
      <c r="P5" s="98" t="str">
        <f>CONCATENATE(TURNI!AE6)</f>
        <v>PAS</v>
      </c>
      <c r="Q5" s="98" t="str">
        <f>(CONCATENATE(TURNI!AF6," ",TURNI!AG6," ",TURNI!AH6," ",TURNI!AI6," ",TURNI!AJ6," ",TURNI!AK6," ",TURNI!AL6," ",TURNI!AM6," ",TURNI!AN6," ",TURNI!AO6))</f>
        <v xml:space="preserve">RUS OGG MAG CUR SAN     </v>
      </c>
    </row>
    <row r="6" spans="1:17" s="75" customFormat="1" ht="16" thickBot="1" x14ac:dyDescent="0.25">
      <c r="A6" s="100">
        <v>3</v>
      </c>
      <c r="B6" s="101" t="str">
        <f>TURNI!B7</f>
        <v>S</v>
      </c>
      <c r="C6" s="102" t="str">
        <f>CONCATENATE(TURNI!C7," ",TURNI!D7)</f>
        <v xml:space="preserve"> </v>
      </c>
      <c r="D6" s="102" t="str">
        <f>CONCATENATE(TURNI!AA7," ",TURNI!AB7)</f>
        <v xml:space="preserve"> </v>
      </c>
      <c r="E6" s="102" t="str">
        <f>CONCATENATE(TURNI!E7," ",TURNI!F7)</f>
        <v xml:space="preserve"> </v>
      </c>
      <c r="F6" s="102" t="str">
        <f>CONCATENATE(TURNI!I7," ",TURNI!J7)</f>
        <v xml:space="preserve"> </v>
      </c>
      <c r="G6" s="102" t="str">
        <f>CONCATENATE(TURNI!K7)</f>
        <v/>
      </c>
      <c r="H6" s="102" t="str">
        <f>CONCATENATE(TURNI!L7)</f>
        <v/>
      </c>
      <c r="I6" s="102" t="str">
        <f>CONCATENATE(TURNI!Q7," ",TURNI!R7," ",TURNI!S7," ",TURNI!T7," ",TURNI!U7)</f>
        <v xml:space="preserve">    </v>
      </c>
      <c r="J6" s="102" t="str">
        <f>CONCATENATE(TURNI!V7," ",TURNI!W7," ",TURNI!X7," ",TURNI!Y7," ",TURNI!Z7)</f>
        <v xml:space="preserve">    </v>
      </c>
      <c r="K6" s="102" t="str">
        <f>CONCATENATE(TURNI!M7," ",TURNI!N7)</f>
        <v xml:space="preserve"> </v>
      </c>
      <c r="L6" s="102" t="str">
        <f>CONCATENATE(TURNI!O7)</f>
        <v/>
      </c>
      <c r="M6" s="102" t="str">
        <f>CONCATENATE(TURNI!P7)</f>
        <v/>
      </c>
      <c r="N6" s="101" t="str">
        <f>CONCATENATE(TURNI!G7," ",TURNI!H7)</f>
        <v xml:space="preserve"> BON </v>
      </c>
      <c r="O6" s="101" t="str">
        <f>CONCATENATE(TURNI!AC7," ",TURNI!AD7)</f>
        <v xml:space="preserve">BON </v>
      </c>
      <c r="P6" s="101" t="str">
        <f>CONCATENATE(TURNI!AE7)</f>
        <v>PAS</v>
      </c>
      <c r="Q6" s="101" t="str">
        <f>(CONCATENATE(TURNI!AF7," ",TURNI!AG7," ",TURNI!AH7," ",TURNI!AI7," ",TURNI!AJ7," ",TURNI!AK7," ",TURNI!AL7," ",TURNI!AM7," ",TURNI!AN7," ",TURNI!AO7))</f>
        <v xml:space="preserve">RUS OGG MAG CUR      </v>
      </c>
    </row>
    <row r="7" spans="1:17" s="75" customFormat="1" ht="21" customHeight="1" thickBot="1" x14ac:dyDescent="0.25">
      <c r="A7" s="100">
        <v>4</v>
      </c>
      <c r="B7" s="101" t="str">
        <f>TURNI!B8</f>
        <v>D</v>
      </c>
      <c r="C7" s="102" t="str">
        <f>CONCATENATE(TURNI!C8," ",TURNI!D8)</f>
        <v xml:space="preserve"> </v>
      </c>
      <c r="D7" s="102" t="str">
        <f>CONCATENATE(TURNI!AA8," ",TURNI!AB8)</f>
        <v xml:space="preserve"> </v>
      </c>
      <c r="E7" s="102" t="str">
        <f>CONCATENATE(TURNI!E8," ",TURNI!F8)</f>
        <v xml:space="preserve"> </v>
      </c>
      <c r="F7" s="102" t="str">
        <f>CONCATENATE(TURNI!I8," ",TURNI!J8)</f>
        <v xml:space="preserve"> </v>
      </c>
      <c r="G7" s="102" t="str">
        <f>CONCATENATE(TURNI!K8)</f>
        <v/>
      </c>
      <c r="H7" s="102" t="str">
        <f>CONCATENATE(TURNI!L8)</f>
        <v/>
      </c>
      <c r="I7" s="102" t="str">
        <f>CONCATENATE(TURNI!Q8," ",TURNI!R8," ",TURNI!S8," ",TURNI!T8," ",TURNI!U8)</f>
        <v xml:space="preserve">    </v>
      </c>
      <c r="J7" s="102" t="str">
        <f>CONCATENATE(TURNI!V8," ",TURNI!W8," ",TURNI!X8," ",TURNI!Y8," ",TURNI!Z8)</f>
        <v xml:space="preserve">    </v>
      </c>
      <c r="K7" s="102" t="str">
        <f>CONCATENATE(TURNI!M8," ",TURNI!N8)</f>
        <v xml:space="preserve"> </v>
      </c>
      <c r="L7" s="102" t="str">
        <f>CONCATENATE(TURNI!O8)</f>
        <v/>
      </c>
      <c r="M7" s="102" t="str">
        <f>CONCATENATE(TURNI!P8)</f>
        <v/>
      </c>
      <c r="N7" s="101" t="str">
        <f>CONCATENATE(TURNI!G8," ",TURNI!H8)</f>
        <v xml:space="preserve"> PAS </v>
      </c>
      <c r="O7" s="101" t="str">
        <f>CONCATENATE(TURNI!AC8," ",TURNI!AD8)</f>
        <v xml:space="preserve">PAS </v>
      </c>
      <c r="P7" s="101" t="str">
        <f>CONCATENATE(TURNI!AE8)</f>
        <v>BON</v>
      </c>
      <c r="Q7" s="101" t="str">
        <f>(CONCATENATE(TURNI!AF8," ",TURNI!AG8," ",TURNI!AH8," ",TURNI!AI8," ",TURNI!AJ8," ",TURNI!AK8," ",TURNI!AL8," ",TURNI!AM8," ",TURNI!AN8," ",TURNI!AO8))</f>
        <v xml:space="preserve">RUS OGG MAG CUR      </v>
      </c>
    </row>
    <row r="8" spans="1:17" ht="25" thickBot="1" x14ac:dyDescent="0.25">
      <c r="A8" s="97">
        <v>5</v>
      </c>
      <c r="B8" s="98" t="str">
        <f>TURNI!B9</f>
        <v>L</v>
      </c>
      <c r="C8" s="96" t="str">
        <f>CONCATENATE(TURNI!C9," ",TURNI!D9)</f>
        <v xml:space="preserve">ROMA </v>
      </c>
      <c r="D8" s="96" t="str">
        <f>CONCATENATE(TURNI!AA9," ",TURNI!AB9)</f>
        <v xml:space="preserve">BON </v>
      </c>
      <c r="E8" s="96" t="str">
        <f>CONCATENATE(TURNI!E9," ",TURNI!F9)</f>
        <v xml:space="preserve">DES </v>
      </c>
      <c r="F8" s="96" t="str">
        <f>CONCATENATE(TURNI!I9," ",TURNI!J9)</f>
        <v xml:space="preserve"> </v>
      </c>
      <c r="G8" s="96" t="str">
        <f>CONCATENATE(TURNI!K9)</f>
        <v>FUM</v>
      </c>
      <c r="H8" s="96" t="str">
        <f>CONCATENATE(TURNI!L9)</f>
        <v>FUM</v>
      </c>
      <c r="I8" s="96" t="str">
        <f>CONCATENATE(TURNI!Q9," ",TURNI!R9," ",TURNI!S9," ",TURNI!T9," ",TURNI!U9)</f>
        <v xml:space="preserve">MAS DES RUZ BON </v>
      </c>
      <c r="J8" s="96" t="str">
        <f>CONCATENATE(TURNI!V9," ",TURNI!W9," ",TURNI!X9," ",TURNI!Y9," ",TURNI!Z9)</f>
        <v xml:space="preserve">X    </v>
      </c>
      <c r="K8" s="96" t="str">
        <f>CONCATENATE(TURNI!M9," ",TURNI!N9)</f>
        <v xml:space="preserve"> </v>
      </c>
      <c r="L8" s="96" t="str">
        <f>CONCATENATE(TURNI!O9)</f>
        <v/>
      </c>
      <c r="M8" s="96" t="str">
        <f>CONCATENATE(TURNI!P9)</f>
        <v/>
      </c>
      <c r="N8" s="98" t="str">
        <f>CONCATENATE(TURNI!G9," ",TURNI!H9)</f>
        <v xml:space="preserve">PAS </v>
      </c>
      <c r="O8" s="98" t="str">
        <f>CONCATENATE(TURNI!AC9," ",TURNI!AD9)</f>
        <v xml:space="preserve">BUR </v>
      </c>
      <c r="P8" s="98" t="str">
        <f>CONCATENATE(TURNI!AE9)</f>
        <v>BON</v>
      </c>
      <c r="Q8" s="98" t="str">
        <f>(CONCATENATE(TURNI!AF9," ",TURNI!AG9," ",TURNI!AH9," ",TURNI!AI9," ",TURNI!AJ9," ",TURNI!AK9," ",TURNI!AL9," ",TURNI!AM9," ",TURNI!AN9," ",TURNI!AO9))</f>
        <v xml:space="preserve">RUS OGG MAG  CUR     </v>
      </c>
    </row>
    <row r="9" spans="1:17" s="75" customFormat="1" ht="16" thickBot="1" x14ac:dyDescent="0.25">
      <c r="A9" s="103">
        <v>6</v>
      </c>
      <c r="B9" s="101" t="str">
        <f>TURNI!B10</f>
        <v>MA</v>
      </c>
      <c r="C9" s="102" t="str">
        <f>CONCATENATE(TURNI!C10," ",TURNI!D10)</f>
        <v xml:space="preserve"> </v>
      </c>
      <c r="D9" s="102" t="str">
        <f>CONCATENATE(TURNI!AA10," ",TURNI!AB10)</f>
        <v xml:space="preserve"> </v>
      </c>
      <c r="E9" s="102" t="str">
        <f>CONCATENATE(TURNI!E10," ",TURNI!F10)</f>
        <v xml:space="preserve"> </v>
      </c>
      <c r="F9" s="102" t="str">
        <f>CONCATENATE(TURNI!I10," ",TURNI!J10)</f>
        <v xml:space="preserve"> </v>
      </c>
      <c r="G9" s="102" t="str">
        <f>CONCATENATE(TURNI!K10)</f>
        <v/>
      </c>
      <c r="H9" s="102" t="str">
        <f>CONCATENATE(TURNI!L10)</f>
        <v/>
      </c>
      <c r="I9" s="102" t="str">
        <f>CONCATENATE(TURNI!Q10," ",TURNI!R10," ",TURNI!S10," ",TURNI!T10," ",TURNI!U10)</f>
        <v xml:space="preserve">    </v>
      </c>
      <c r="J9" s="102" t="str">
        <f>CONCATENATE(TURNI!V10," ",TURNI!W10," ",TURNI!X10," ",TURNI!Y10," ",TURNI!Z10)</f>
        <v xml:space="preserve">    </v>
      </c>
      <c r="K9" s="102" t="str">
        <f>CONCATENATE(TURNI!M10," ",TURNI!N10)</f>
        <v xml:space="preserve"> </v>
      </c>
      <c r="L9" s="102" t="str">
        <f>CONCATENATE(TURNI!O10)</f>
        <v/>
      </c>
      <c r="M9" s="102" t="str">
        <f>CONCATENATE(TURNI!P10)</f>
        <v/>
      </c>
      <c r="N9" s="101" t="str">
        <f>CONCATENATE(TURNI!G10," ",TURNI!H10)</f>
        <v xml:space="preserve"> DON </v>
      </c>
      <c r="O9" s="101" t="str">
        <f>CONCATENATE(TURNI!AC10," ",TURNI!AD10)</f>
        <v xml:space="preserve">DON </v>
      </c>
      <c r="P9" s="101" t="str">
        <f>CONCATENATE(TURNI!AE10)</f>
        <v>FUM</v>
      </c>
      <c r="Q9" s="101" t="str">
        <f>(CONCATENATE(TURNI!AF10," ",TURNI!AG10," ",TURNI!AH10," ",TURNI!AI10," ",TURNI!AJ10," ",TURNI!AK10," ",TURNI!AL10," ",TURNI!AM10," ",TURNI!AN10," ",TURNI!AO10))</f>
        <v xml:space="preserve">RUS MAS OGG MAG CUR     </v>
      </c>
    </row>
    <row r="10" spans="1:17" ht="20.75" customHeight="1" thickBot="1" x14ac:dyDescent="0.25">
      <c r="A10" s="99">
        <v>7</v>
      </c>
      <c r="B10" s="98" t="str">
        <f>TURNI!B11</f>
        <v>M</v>
      </c>
      <c r="C10" s="96" t="str">
        <f>CONCATENATE(TURNI!C11," ",TURNI!D11)</f>
        <v>DON LAM</v>
      </c>
      <c r="D10" s="96" t="str">
        <f>CONCATENATE(TURNI!AA11," ",TURNI!AB11)</f>
        <v xml:space="preserve">SAL </v>
      </c>
      <c r="E10" s="96" t="str">
        <f>CONCATENATE(TURNI!E11," ",TURNI!F11)</f>
        <v xml:space="preserve">PAS </v>
      </c>
      <c r="F10" s="96" t="str">
        <f>CONCATENATE(TURNI!I11," ",TURNI!J11)</f>
        <v xml:space="preserve"> </v>
      </c>
      <c r="G10" s="96" t="str">
        <f>CONCATENATE(TURNI!K11)</f>
        <v>BUR</v>
      </c>
      <c r="H10" s="96" t="str">
        <f>CONCATENATE(TURNI!L11)</f>
        <v>BUR</v>
      </c>
      <c r="I10" s="96" t="str">
        <f>CONCATENATE(TURNI!Q11," ",TURNI!R11," ",TURNI!S11," ",TURNI!T11," ",TURNI!U11)</f>
        <v xml:space="preserve">COS RUS SES FUM </v>
      </c>
      <c r="J10" s="96" t="str">
        <f>CONCATENATE(TURNI!V11," ",TURNI!W11," ",TURNI!X11," ",TURNI!Y11," ",TURNI!Z11)</f>
        <v xml:space="preserve">OGG DES SAN BON </v>
      </c>
      <c r="K10" s="96" t="str">
        <f>CONCATENATE(TURNI!M11," ",TURNI!N11)</f>
        <v xml:space="preserve"> </v>
      </c>
      <c r="L10" s="96" t="str">
        <f>CONCATENATE(TURNI!O11)</f>
        <v/>
      </c>
      <c r="M10" s="96" t="str">
        <f>CONCATENATE(TURNI!P11)</f>
        <v/>
      </c>
      <c r="N10" s="98" t="str">
        <f>CONCATENATE(TURNI!G11," ",TURNI!H11)</f>
        <v xml:space="preserve">RUZ </v>
      </c>
      <c r="O10" s="98" t="str">
        <f>CONCATENATE(TURNI!AC11," ",TURNI!AD11)</f>
        <v xml:space="preserve">OGG </v>
      </c>
      <c r="P10" s="98" t="str">
        <f>CONCATENATE(TURNI!AE11)</f>
        <v>DES</v>
      </c>
      <c r="Q10" s="98" t="str">
        <f>(CONCATENATE(TURNI!AF11," ",TURNI!AG11," ",TURNI!AH11," ",TURNI!AI11," ",TURNI!AJ11," ",TURNI!AK11," ",TURNI!AL11," ",TURNI!AM11," ",TURNI!AN11," ",TURNI!AO11))</f>
        <v xml:space="preserve">MAS MAG        </v>
      </c>
    </row>
    <row r="11" spans="1:17" ht="16" thickBot="1" x14ac:dyDescent="0.25">
      <c r="A11" s="97">
        <v>8</v>
      </c>
      <c r="B11" s="98" t="str">
        <f>TURNI!B12</f>
        <v>G</v>
      </c>
      <c r="C11" s="96" t="str">
        <f>CONCATENATE(TURNI!C12," ",TURNI!D12)</f>
        <v xml:space="preserve">BON </v>
      </c>
      <c r="D11" s="96" t="str">
        <f>CONCATENATE(TURNI!AA12," ",TURNI!AB12)</f>
        <v xml:space="preserve">FUM </v>
      </c>
      <c r="E11" s="96" t="str">
        <f>CONCATENATE(TURNI!E12," ",TURNI!F12)</f>
        <v xml:space="preserve">SES </v>
      </c>
      <c r="F11" s="96" t="str">
        <f>CONCATENATE(TURNI!I12," ",TURNI!J12)</f>
        <v xml:space="preserve"> </v>
      </c>
      <c r="G11" s="96" t="str">
        <f>CONCATENATE(TURNI!K12)</f>
        <v>LAM</v>
      </c>
      <c r="H11" s="96" t="str">
        <f>CONCATENATE(TURNI!L12)</f>
        <v>LAM</v>
      </c>
      <c r="I11" s="96" t="str">
        <f>CONCATENATE(TURNI!Q12," ",TURNI!R12," ",TURNI!S12," ",TURNI!T12," ",TURNI!U12)</f>
        <v xml:space="preserve">OGG DES   </v>
      </c>
      <c r="J11" s="96" t="str">
        <f>CONCATENATE(TURNI!V12," ",TURNI!W12," ",TURNI!X12," ",TURNI!Y12," ",TURNI!Z12)</f>
        <v xml:space="preserve">DON SAL   </v>
      </c>
      <c r="K11" s="96" t="str">
        <f>CONCATENATE(TURNI!M12," ",TURNI!N12)</f>
        <v xml:space="preserve"> </v>
      </c>
      <c r="L11" s="96" t="str">
        <f>CONCATENATE(TURNI!O12)</f>
        <v/>
      </c>
      <c r="M11" s="96" t="str">
        <f>CONCATENATE(TURNI!P12)</f>
        <v>PAS</v>
      </c>
      <c r="N11" s="98" t="str">
        <f>CONCATENATE(TURNI!G12," ",TURNI!H12)</f>
        <v xml:space="preserve">BUR </v>
      </c>
      <c r="O11" s="98" t="str">
        <f>CONCATENATE(TURNI!AC12," ",TURNI!AD12)</f>
        <v xml:space="preserve">DON </v>
      </c>
      <c r="P11" s="98" t="str">
        <f>CONCATENATE(TURNI!AE12)</f>
        <v>SAL</v>
      </c>
      <c r="Q11" s="98" t="str">
        <f>(CONCATENATE(TURNI!AF12," ",TURNI!AG12," ",TURNI!AH12," ",TURNI!AI12," ",TURNI!AJ12," ",TURNI!AK12," ",TURNI!AL12," ",TURNI!AM12," ",TURNI!AN12," ",TURNI!AO12))</f>
        <v xml:space="preserve">MAS MAG (RUZ SP)       </v>
      </c>
    </row>
    <row r="12" spans="1:17" ht="25" thickBot="1" x14ac:dyDescent="0.25">
      <c r="A12" s="97">
        <v>9</v>
      </c>
      <c r="B12" s="98" t="str">
        <f>TURNI!B13</f>
        <v>V</v>
      </c>
      <c r="C12" s="96" t="str">
        <f>CONCATENATE(TURNI!C13," ",TURNI!D13)</f>
        <v>OGG DES</v>
      </c>
      <c r="D12" s="96" t="str">
        <f>CONCATENATE(TURNI!AA13," ",TURNI!AB13)</f>
        <v xml:space="preserve">SAN </v>
      </c>
      <c r="E12" s="96" t="str">
        <f>CONCATENATE(TURNI!E13," ",TURNI!F13)</f>
        <v xml:space="preserve">BUR </v>
      </c>
      <c r="F12" s="96" t="str">
        <f>CONCATENATE(TURNI!I13," ",TURNI!J13)</f>
        <v xml:space="preserve"> </v>
      </c>
      <c r="G12" s="96" t="str">
        <f>CONCATENATE(TURNI!K13)</f>
        <v>SAL</v>
      </c>
      <c r="H12" s="96" t="str">
        <f>CONCATENATE(TURNI!L13)</f>
        <v>SAL</v>
      </c>
      <c r="I12" s="96" t="str">
        <f>CONCATENATE(TURNI!Q13," ",TURNI!R13," ",TURNI!S13," ",TURNI!T13," ",TURNI!U13)</f>
        <v xml:space="preserve">PAS DON SES FUM </v>
      </c>
      <c r="J12" s="96" t="str">
        <f>CONCATENATE(TURNI!V13," ",TURNI!W13," ",TURNI!X13," ",TURNI!Y13," ",TURNI!Z13)</f>
        <v xml:space="preserve">RUZ BON SES FUM </v>
      </c>
      <c r="K12" s="96" t="str">
        <f>CONCATENATE(TURNI!M13," ",TURNI!N13)</f>
        <v xml:space="preserve"> </v>
      </c>
      <c r="L12" s="96" t="str">
        <f>CONCATENATE(TURNI!O13)</f>
        <v/>
      </c>
      <c r="M12" s="96" t="str">
        <f>CONCATENATE(TURNI!P13)</f>
        <v/>
      </c>
      <c r="N12" s="98" t="str">
        <f>CONCATENATE(TURNI!G13," ",TURNI!H13)</f>
        <v xml:space="preserve">LAM </v>
      </c>
      <c r="O12" s="98" t="str">
        <f>CONCATENATE(TURNI!AC13," ",TURNI!AD13)</f>
        <v xml:space="preserve">RUZ </v>
      </c>
      <c r="P12" s="98" t="str">
        <f>CONCATENATE(TURNI!AE13)</f>
        <v>FUM</v>
      </c>
      <c r="Q12" s="98" t="str">
        <f>(CONCATENATE(TURNI!AF13," ",TURNI!AG13," ",TURNI!AH13," ",TURNI!AI13," ",TURNI!AJ13," ",TURNI!AK13," ",TURNI!AL13," ",TURNI!AM13," ",TURNI!AN13," ",TURNI!AO13))</f>
        <v xml:space="preserve">MAS MAG        </v>
      </c>
    </row>
    <row r="13" spans="1:17" s="75" customFormat="1" ht="16" thickBot="1" x14ac:dyDescent="0.25">
      <c r="A13" s="100">
        <v>10</v>
      </c>
      <c r="B13" s="101" t="str">
        <f>TURNI!B14</f>
        <v>S</v>
      </c>
      <c r="C13" s="102" t="str">
        <f>CONCATENATE(TURNI!C14," ",TURNI!D14)</f>
        <v xml:space="preserve"> </v>
      </c>
      <c r="D13" s="102" t="str">
        <f>CONCATENATE(TURNI!AA14," ",TURNI!AB14)</f>
        <v xml:space="preserve"> </v>
      </c>
      <c r="E13" s="102" t="str">
        <f>CONCATENATE(TURNI!E14," ",TURNI!F14)</f>
        <v xml:space="preserve"> </v>
      </c>
      <c r="F13" s="102" t="str">
        <f>CONCATENATE(TURNI!I14," ",TURNI!J14)</f>
        <v xml:space="preserve"> </v>
      </c>
      <c r="G13" s="102" t="str">
        <f>CONCATENATE(TURNI!K14)</f>
        <v/>
      </c>
      <c r="H13" s="102" t="str">
        <f>CONCATENATE(TURNI!L14)</f>
        <v/>
      </c>
      <c r="I13" s="102" t="str">
        <f>CONCATENATE(TURNI!Q14," ",TURNI!R14," ",TURNI!S14," ",TURNI!T14," ",TURNI!U14)</f>
        <v xml:space="preserve">    </v>
      </c>
      <c r="J13" s="102" t="str">
        <f>CONCATENATE(TURNI!V14," ",TURNI!W14," ",TURNI!X14," ",TURNI!Y14," ",TURNI!Z14)</f>
        <v xml:space="preserve">    </v>
      </c>
      <c r="K13" s="102" t="str">
        <f>CONCATENATE(TURNI!M14," ",TURNI!N14)</f>
        <v xml:space="preserve"> </v>
      </c>
      <c r="L13" s="102" t="str">
        <f>CONCATENATE(TURNI!O14)</f>
        <v/>
      </c>
      <c r="M13" s="102" t="str">
        <f>CONCATENATE(TURNI!P14)</f>
        <v/>
      </c>
      <c r="N13" s="101" t="str">
        <f>CONCATENATE(TURNI!G14," ",TURNI!H14)</f>
        <v xml:space="preserve">OGG </v>
      </c>
      <c r="O13" s="101" t="str">
        <f>CONCATENATE(TURNI!AC14," ",TURNI!AD14)</f>
        <v xml:space="preserve">OGG </v>
      </c>
      <c r="P13" s="101" t="str">
        <f>CONCATENATE(TURNI!AE14)</f>
        <v>DES</v>
      </c>
      <c r="Q13" s="101" t="str">
        <f>(CONCATENATE(TURNI!AF14," ",TURNI!AG14," ",TURNI!AH14," ",TURNI!AI14," ",TURNI!AJ14," ",TURNI!AK14," ",TURNI!AL14," ",TURNI!AM14," ",TURNI!AN14," ",TURNI!AO14))</f>
        <v xml:space="preserve">MAS MAG DON       </v>
      </c>
    </row>
    <row r="14" spans="1:17" s="75" customFormat="1" ht="16" thickBot="1" x14ac:dyDescent="0.25">
      <c r="A14" s="100">
        <v>11</v>
      </c>
      <c r="B14" s="101" t="str">
        <f>TURNI!B15</f>
        <v>D</v>
      </c>
      <c r="C14" s="102" t="str">
        <f>CONCATENATE(TURNI!C15," ",TURNI!D15)</f>
        <v xml:space="preserve"> </v>
      </c>
      <c r="D14" s="102" t="str">
        <f>CONCATENATE(TURNI!AA15," ",TURNI!AB15)</f>
        <v xml:space="preserve"> </v>
      </c>
      <c r="E14" s="102" t="str">
        <f>CONCATENATE(TURNI!E15," ",TURNI!F15)</f>
        <v xml:space="preserve"> </v>
      </c>
      <c r="F14" s="102" t="str">
        <f>CONCATENATE(TURNI!I15," ",TURNI!J15)</f>
        <v xml:space="preserve"> </v>
      </c>
      <c r="G14" s="102" t="str">
        <f>CONCATENATE(TURNI!K15)</f>
        <v/>
      </c>
      <c r="H14" s="102" t="str">
        <f>CONCATENATE(TURNI!L15)</f>
        <v/>
      </c>
      <c r="I14" s="102" t="str">
        <f>CONCATENATE(TURNI!Q15," ",TURNI!R15," ",TURNI!S15," ",TURNI!T15," ",TURNI!U15)</f>
        <v xml:space="preserve">    </v>
      </c>
      <c r="J14" s="102" t="str">
        <f>CONCATENATE(TURNI!V15," ",TURNI!W15," ",TURNI!X15," ",TURNI!Y15," ",TURNI!Z15)</f>
        <v xml:space="preserve">    </v>
      </c>
      <c r="K14" s="102" t="str">
        <f>CONCATENATE(TURNI!M15," ",TURNI!N15)</f>
        <v xml:space="preserve"> </v>
      </c>
      <c r="L14" s="102" t="str">
        <f>CONCATENATE(TURNI!O15)</f>
        <v/>
      </c>
      <c r="M14" s="102" t="str">
        <f>CONCATENATE(TURNI!P15)</f>
        <v/>
      </c>
      <c r="N14" s="101" t="str">
        <f>CONCATENATE(TURNI!G15," ",TURNI!H15)</f>
        <v xml:space="preserve">DES </v>
      </c>
      <c r="O14" s="101" t="str">
        <f>CONCATENATE(TURNI!AC15," ",TURNI!AD15)</f>
        <v xml:space="preserve">DES </v>
      </c>
      <c r="P14" s="101" t="str">
        <f>CONCATENATE(TURNI!AE15)</f>
        <v>OGG</v>
      </c>
      <c r="Q14" s="101" t="str">
        <f>(CONCATENATE(TURNI!AF15," ",TURNI!AG15," ",TURNI!AH15," ",TURNI!AI15," ",TURNI!AJ15," ",TURNI!AK15," ",TURNI!AL15," ",TURNI!AM15," ",TURNI!AN15," ",TURNI!AO15))</f>
        <v xml:space="preserve">MAS MAG DON       </v>
      </c>
    </row>
    <row r="15" spans="1:17" ht="25" thickBot="1" x14ac:dyDescent="0.25">
      <c r="A15" s="97">
        <v>12</v>
      </c>
      <c r="B15" s="98" t="str">
        <f>TURNI!B16</f>
        <v>L</v>
      </c>
      <c r="C15" s="96" t="str">
        <f>CONCATENATE(TURNI!C16," ",TURNI!D16)</f>
        <v xml:space="preserve">ROMA </v>
      </c>
      <c r="D15" s="96" t="str">
        <f>CONCATENATE(TURNI!AA16," ",TURNI!AB16)</f>
        <v xml:space="preserve">RUS </v>
      </c>
      <c r="E15" s="96" t="str">
        <f>CONCATENATE(TURNI!E16," ",TURNI!F16)</f>
        <v xml:space="preserve">BON </v>
      </c>
      <c r="F15" s="96" t="str">
        <f>CONCATENATE(TURNI!I16," ",TURNI!J16)</f>
        <v xml:space="preserve"> </v>
      </c>
      <c r="G15" s="96" t="str">
        <f>CONCATENATE(TURNI!K16)</f>
        <v>LAM</v>
      </c>
      <c r="H15" s="96" t="str">
        <f>CONCATENATE(TURNI!L16)</f>
        <v>FUM</v>
      </c>
      <c r="I15" s="96" t="str">
        <f>CONCATENATE(TURNI!Q16," ",TURNI!R16," ",TURNI!S16," ",TURNI!T16," ",TURNI!U16)</f>
        <v xml:space="preserve">MAG DES RUZ BUR </v>
      </c>
      <c r="J15" s="96" t="str">
        <f>CONCATENATE(TURNI!V16," ",TURNI!W16," ",TURNI!X16," ",TURNI!Y16," ",TURNI!Z16)</f>
        <v xml:space="preserve">PAS SAL   </v>
      </c>
      <c r="K15" s="96" t="str">
        <f>CONCATENATE(TURNI!M16," ",TURNI!N16)</f>
        <v xml:space="preserve"> </v>
      </c>
      <c r="L15" s="96" t="str">
        <f>CONCATENATE(TURNI!O16)</f>
        <v/>
      </c>
      <c r="M15" s="96" t="str">
        <f>CONCATENATE(TURNI!P16)</f>
        <v/>
      </c>
      <c r="N15" s="98" t="str">
        <f>CONCATENATE(TURNI!G16," ",TURNI!H16)</f>
        <v xml:space="preserve">OGG </v>
      </c>
      <c r="O15" s="98" t="str">
        <f>CONCATENATE(TURNI!AC16," ",TURNI!AD16)</f>
        <v xml:space="preserve">SAL </v>
      </c>
      <c r="P15" s="98" t="str">
        <f>CONCATENATE(TURNI!AE16)</f>
        <v>PAS</v>
      </c>
      <c r="Q15" s="98" t="str">
        <f>(CONCATENATE(TURNI!AF16," ",TURNI!AG16," ",TURNI!AH16," ",TURNI!AI16," ",TURNI!AJ16," ",TURNI!AK16," ",TURNI!AL16," ",TURNI!AM16," ",TURNI!AN16," ",TURNI!AO16))</f>
        <v xml:space="preserve">MAS DON (SES GIAN)       </v>
      </c>
    </row>
    <row r="16" spans="1:17" ht="25" thickBot="1" x14ac:dyDescent="0.25">
      <c r="A16" s="99">
        <v>13</v>
      </c>
      <c r="B16" s="98" t="str">
        <f>TURNI!B17</f>
        <v>MA</v>
      </c>
      <c r="C16" s="96" t="str">
        <f>CONCATENATE(TURNI!C17," ",TURNI!D17)</f>
        <v xml:space="preserve">BON </v>
      </c>
      <c r="D16" s="96" t="str">
        <f>CONCATENATE(TURNI!AA17," ",TURNI!AB17)</f>
        <v xml:space="preserve">RUZ </v>
      </c>
      <c r="E16" s="96" t="str">
        <f>CONCATENATE(TURNI!E17," ",TURNI!F17)</f>
        <v xml:space="preserve">LAM </v>
      </c>
      <c r="F16" s="96" t="str">
        <f>CONCATENATE(TURNI!I17," ",TURNI!J17)</f>
        <v xml:space="preserve"> </v>
      </c>
      <c r="G16" s="96" t="str">
        <f>CONCATENATE(TURNI!K17)</f>
        <v>BUR</v>
      </c>
      <c r="H16" s="96" t="str">
        <f>CONCATENATE(TURNI!L17)</f>
        <v>SAL</v>
      </c>
      <c r="I16" s="96" t="str">
        <f>CONCATENATE(TURNI!Q17," ",TURNI!R17," ",TURNI!S17," ",TURNI!T17," ",TURNI!U17)</f>
        <v xml:space="preserve">COS RUS OGG FUM </v>
      </c>
      <c r="J16" s="96" t="str">
        <f>CONCATENATE(TURNI!V17," ",TURNI!W17," ",TURNI!X17," ",TURNI!Y17," ",TURNI!Z17)</f>
        <v xml:space="preserve">SES DES   </v>
      </c>
      <c r="K16" s="96" t="str">
        <f>CONCATENATE(TURNI!M17," ",TURNI!N17)</f>
        <v xml:space="preserve"> </v>
      </c>
      <c r="L16" s="96" t="str">
        <f>CONCATENATE(TURNI!O17)</f>
        <v>MAS</v>
      </c>
      <c r="M16" s="96" t="str">
        <f>CONCATENATE(TURNI!P17)</f>
        <v/>
      </c>
      <c r="N16" s="98" t="str">
        <f>CONCATENATE(TURNI!G17," ",TURNI!H17)</f>
        <v xml:space="preserve">PAS </v>
      </c>
      <c r="O16" s="98" t="str">
        <f>CONCATENATE(TURNI!AC17," ",TURNI!AD17)</f>
        <v xml:space="preserve">SES </v>
      </c>
      <c r="P16" s="98" t="str">
        <f>CONCATENATE(TURNI!AE17)</f>
        <v>SAL</v>
      </c>
      <c r="Q16" s="98" t="str">
        <f>(CONCATENATE(TURNI!AF17," ",TURNI!AG17," ",TURNI!AH17," ",TURNI!AI17," ",TURNI!AJ17," ",TURNI!AK17," ",TURNI!AL17," ",TURNI!AM17," ",TURNI!AN17," ",TURNI!AO17))</f>
        <v xml:space="preserve">         </v>
      </c>
    </row>
    <row r="17" spans="1:17" ht="25" thickBot="1" x14ac:dyDescent="0.25">
      <c r="A17" s="99">
        <v>14</v>
      </c>
      <c r="B17" s="98" t="str">
        <f>TURNI!B18</f>
        <v>M</v>
      </c>
      <c r="C17" s="96" t="str">
        <f>CONCATENATE(TURNI!C18," ",TURNI!D18)</f>
        <v xml:space="preserve">MAS </v>
      </c>
      <c r="D17" s="96" t="str">
        <f>CONCATENATE(TURNI!AA18," ",TURNI!AB18)</f>
        <v xml:space="preserve">LAM </v>
      </c>
      <c r="E17" s="96" t="str">
        <f>CONCATENATE(TURNI!E18," ",TURNI!F18)</f>
        <v xml:space="preserve">FUM </v>
      </c>
      <c r="F17" s="96" t="str">
        <f>CONCATENATE(TURNI!I18," ",TURNI!J18)</f>
        <v xml:space="preserve"> </v>
      </c>
      <c r="G17" s="96" t="str">
        <f>CONCATENATE(TURNI!K18)</f>
        <v>PAS</v>
      </c>
      <c r="H17" s="96" t="str">
        <f>CONCATENATE(TURNI!L18)</f>
        <v>DON</v>
      </c>
      <c r="I17" s="96" t="str">
        <f>CONCATENATE(TURNI!Q18," ",TURNI!R18," ",TURNI!S18," ",TURNI!T18," ",TURNI!U18)</f>
        <v xml:space="preserve">COS RUS SES SAL </v>
      </c>
      <c r="J17" s="96" t="str">
        <f>CONCATENATE(TURNI!V18," ",TURNI!W18," ",TURNI!X18," ",TURNI!Y18," ",TURNI!Z18)</f>
        <v xml:space="preserve">OGG MAG SAN BON </v>
      </c>
      <c r="K17" s="96" t="str">
        <f>CONCATENATE(TURNI!M18," ",TURNI!N18)</f>
        <v xml:space="preserve"> </v>
      </c>
      <c r="L17" s="96" t="str">
        <f>CONCATENATE(TURNI!O18)</f>
        <v/>
      </c>
      <c r="M17" s="96" t="str">
        <f>CONCATENATE(TURNI!P18)</f>
        <v/>
      </c>
      <c r="N17" s="98" t="str">
        <f>CONCATENATE(TURNI!G18," ",TURNI!H18)</f>
        <v xml:space="preserve">RUZ </v>
      </c>
      <c r="O17" s="98" t="str">
        <f>CONCATENATE(TURNI!AC18," ",TURNI!AD18)</f>
        <v xml:space="preserve">MAG </v>
      </c>
      <c r="P17" s="98" t="str">
        <f>CONCATENATE(TURNI!AE18)</f>
        <v>SES</v>
      </c>
      <c r="Q17" s="98" t="str">
        <f>(CONCATENATE(TURNI!AF18," ",TURNI!AG18," ",TURNI!AH18," ",TURNI!AI18," ",TURNI!AJ18," ",TURNI!AK18," ",TURNI!AL18," ",TURNI!AM18," ",TURNI!AN18," ",TURNI!AO18))</f>
        <v xml:space="preserve">         </v>
      </c>
    </row>
    <row r="18" spans="1:17" ht="16" thickBot="1" x14ac:dyDescent="0.25">
      <c r="A18" s="97">
        <v>15</v>
      </c>
      <c r="B18" s="98" t="str">
        <f>TURNI!B19</f>
        <v>G</v>
      </c>
      <c r="C18" s="96" t="str">
        <f>CONCATENATE(TURNI!C19," ",TURNI!D19)</f>
        <v xml:space="preserve">BUR </v>
      </c>
      <c r="D18" s="96" t="str">
        <f>CONCATENATE(TURNI!AA19," ",TURNI!AB19)</f>
        <v xml:space="preserve">SAL </v>
      </c>
      <c r="E18" s="96" t="str">
        <f>CONCATENATE(TURNI!E19," ",TURNI!F19)</f>
        <v xml:space="preserve">SES </v>
      </c>
      <c r="F18" s="96" t="str">
        <f>CONCATENATE(TURNI!I19," ",TURNI!J19)</f>
        <v xml:space="preserve"> </v>
      </c>
      <c r="G18" s="96" t="str">
        <f>CONCATENATE(TURNI!K19)</f>
        <v>MAS</v>
      </c>
      <c r="H18" s="96" t="str">
        <f>CONCATENATE(TURNI!L19)</f>
        <v>LAM</v>
      </c>
      <c r="I18" s="96" t="str">
        <f>CONCATENATE(TURNI!Q19," ",TURNI!R19," ",TURNI!S19," ",TURNI!T19," ",TURNI!U19)</f>
        <v xml:space="preserve">OGG DES   </v>
      </c>
      <c r="J18" s="96" t="str">
        <f>CONCATENATE(TURNI!V19," ",TURNI!W19," ",TURNI!X19," ",TURNI!Y19," ",TURNI!Z19)</f>
        <v xml:space="preserve">DON FUM   </v>
      </c>
      <c r="K18" s="96" t="str">
        <f>CONCATENATE(TURNI!M19," ",TURNI!N19)</f>
        <v xml:space="preserve"> </v>
      </c>
      <c r="L18" s="96" t="str">
        <f>CONCATENATE(TURNI!O19)</f>
        <v/>
      </c>
      <c r="M18" s="96" t="str">
        <f>CONCATENATE(TURNI!P19)</f>
        <v>PAS</v>
      </c>
      <c r="N18" s="98" t="str">
        <f>CONCATENATE(TURNI!G19," ",TURNI!H19)</f>
        <v xml:space="preserve">MAG </v>
      </c>
      <c r="O18" s="98" t="str">
        <f>CONCATENATE(TURNI!AC19," ",TURNI!AD19)</f>
        <v xml:space="preserve">BON </v>
      </c>
      <c r="P18" s="98" t="str">
        <f>CONCATENATE(TURNI!AE19)</f>
        <v>DON</v>
      </c>
      <c r="Q18" s="98" t="str">
        <f>(CONCATENATE(TURNI!AF19," ",TURNI!AG19," ",TURNI!AH19," ",TURNI!AI19," ",TURNI!AJ19," ",TURNI!AK19," ",TURNI!AL19," ",TURNI!AM19," ",TURNI!AN19," ",TURNI!AO19))</f>
        <v xml:space="preserve">(RUZ SP)         </v>
      </c>
    </row>
    <row r="19" spans="1:17" ht="25" thickBot="1" x14ac:dyDescent="0.25">
      <c r="A19" s="97">
        <v>16</v>
      </c>
      <c r="B19" s="98" t="str">
        <f>TURNI!B20</f>
        <v>V</v>
      </c>
      <c r="C19" s="96" t="str">
        <f>CONCATENATE(TURNI!C20," ",TURNI!D20)</f>
        <v>MAG DES</v>
      </c>
      <c r="D19" s="96" t="str">
        <f>CONCATENATE(TURNI!AA20," ",TURNI!AB20)</f>
        <v xml:space="preserve">SAN </v>
      </c>
      <c r="E19" s="96" t="str">
        <f>CONCATENATE(TURNI!E20," ",TURNI!F20)</f>
        <v xml:space="preserve">RUS </v>
      </c>
      <c r="F19" s="96" t="str">
        <f>CONCATENATE(TURNI!I20," ",TURNI!J20)</f>
        <v xml:space="preserve"> </v>
      </c>
      <c r="G19" s="96" t="str">
        <f>CONCATENATE(TURNI!K20)</f>
        <v>RUZ</v>
      </c>
      <c r="H19" s="96" t="str">
        <f>CONCATENATE(TURNI!L20)</f>
        <v>RUZ</v>
      </c>
      <c r="I19" s="96" t="str">
        <f>CONCATENATE(TURNI!Q20," ",TURNI!R20," ",TURNI!S20," ",TURNI!T20," ",TURNI!U20)</f>
        <v xml:space="preserve">DON LAM SES SAL </v>
      </c>
      <c r="J19" s="96" t="str">
        <f>CONCATENATE(TURNI!V20," ",TURNI!W20," ",TURNI!X20," ",TURNI!Y20," ",TURNI!Z20)</f>
        <v xml:space="preserve">PAS BON MAS SAL </v>
      </c>
      <c r="K19" s="96" t="str">
        <f>CONCATENATE(TURNI!M20," ",TURNI!N20)</f>
        <v xml:space="preserve"> </v>
      </c>
      <c r="L19" s="96" t="str">
        <f>CONCATENATE(TURNI!O20)</f>
        <v/>
      </c>
      <c r="M19" s="96" t="str">
        <f>CONCATENATE(TURNI!P20)</f>
        <v/>
      </c>
      <c r="N19" s="98" t="str">
        <f>CONCATENATE(TURNI!G20," ",TURNI!H20)</f>
        <v xml:space="preserve">BUR </v>
      </c>
      <c r="O19" s="98" t="str">
        <f>CONCATENATE(TURNI!AC20," ",TURNI!AD20)</f>
        <v xml:space="preserve">PAS </v>
      </c>
      <c r="P19" s="98" t="str">
        <f>CONCATENATE(TURNI!AE20)</f>
        <v>SES</v>
      </c>
      <c r="Q19" s="98" t="str">
        <f>(CONCATENATE(TURNI!AF20," ",TURNI!AG20," ",TURNI!AH20," ",TURNI!AI20," ",TURNI!AJ20," ",TURNI!AK20," ",TURNI!AL20," ",TURNI!AM20," ",TURNI!AN20," ",TURNI!AO20))</f>
        <v xml:space="preserve">OGG FUM        </v>
      </c>
    </row>
    <row r="20" spans="1:17" s="75" customFormat="1" ht="16" thickBot="1" x14ac:dyDescent="0.25">
      <c r="A20" s="100">
        <v>17</v>
      </c>
      <c r="B20" s="101" t="str">
        <f>TURNI!B21</f>
        <v>S</v>
      </c>
      <c r="C20" s="102" t="str">
        <f>CONCATENATE(TURNI!C21," ",TURNI!D21)</f>
        <v xml:space="preserve"> </v>
      </c>
      <c r="D20" s="102" t="str">
        <f>CONCATENATE(TURNI!AA21," ",TURNI!AB21)</f>
        <v xml:space="preserve"> </v>
      </c>
      <c r="E20" s="102" t="str">
        <f>CONCATENATE(TURNI!E21," ",TURNI!F21)</f>
        <v xml:space="preserve"> </v>
      </c>
      <c r="F20" s="102" t="str">
        <f>CONCATENATE(TURNI!I21," ",TURNI!J21)</f>
        <v xml:space="preserve"> </v>
      </c>
      <c r="G20" s="102" t="str">
        <f>CONCATENATE(TURNI!K21)</f>
        <v/>
      </c>
      <c r="H20" s="102" t="str">
        <f>CONCATENATE(TURNI!L21)</f>
        <v/>
      </c>
      <c r="I20" s="102" t="str">
        <f>CONCATENATE(TURNI!Q21," ",TURNI!R21," ",TURNI!S21," ",TURNI!T21," ",TURNI!U21)</f>
        <v xml:space="preserve">    </v>
      </c>
      <c r="J20" s="102" t="str">
        <f>CONCATENATE(TURNI!V21," ",TURNI!W21," ",TURNI!X21," ",TURNI!Y21," ",TURNI!Z21)</f>
        <v xml:space="preserve">    </v>
      </c>
      <c r="K20" s="102" t="str">
        <f>CONCATENATE(TURNI!M21," ",TURNI!N21)</f>
        <v xml:space="preserve"> </v>
      </c>
      <c r="L20" s="102" t="str">
        <f>CONCATENATE(TURNI!O21)</f>
        <v/>
      </c>
      <c r="M20" s="102" t="str">
        <f>CONCATENATE(TURNI!P21)</f>
        <v/>
      </c>
      <c r="N20" s="101" t="str">
        <f>CONCATENATE(TURNI!G21," ",TURNI!H21)</f>
        <v xml:space="preserve">MAS </v>
      </c>
      <c r="O20" s="101" t="str">
        <f>CONCATENATE(TURNI!AC21," ",TURNI!AD21)</f>
        <v xml:space="preserve">MAS </v>
      </c>
      <c r="P20" s="101" t="str">
        <f>CONCATENATE(TURNI!AE21)</f>
        <v>RUZ</v>
      </c>
      <c r="Q20" s="101" t="str">
        <f>(CONCATENATE(TURNI!AF21," ",TURNI!AG21," ",TURNI!AH21," ",TURNI!AI21," ",TURNI!AJ21," ",TURNI!AK21," ",TURNI!AL21," ",TURNI!AM21," ",TURNI!AN21," ",TURNI!AO21))</f>
        <v xml:space="preserve">BUR FUM DES       </v>
      </c>
    </row>
    <row r="21" spans="1:17" s="75" customFormat="1" ht="16" thickBot="1" x14ac:dyDescent="0.25">
      <c r="A21" s="100">
        <v>18</v>
      </c>
      <c r="B21" s="101" t="str">
        <f>TURNI!B22</f>
        <v>D</v>
      </c>
      <c r="C21" s="102" t="str">
        <f>CONCATENATE(TURNI!C22," ",TURNI!D22)</f>
        <v xml:space="preserve"> </v>
      </c>
      <c r="D21" s="102" t="str">
        <f>CONCATENATE(TURNI!AA22," ",TURNI!AB22)</f>
        <v xml:space="preserve"> </v>
      </c>
      <c r="E21" s="102" t="str">
        <f>CONCATENATE(TURNI!E22," ",TURNI!F22)</f>
        <v xml:space="preserve"> </v>
      </c>
      <c r="F21" s="102" t="str">
        <f>CONCATENATE(TURNI!I22," ",TURNI!J22)</f>
        <v xml:space="preserve"> </v>
      </c>
      <c r="G21" s="102" t="str">
        <f>CONCATENATE(TURNI!K22)</f>
        <v/>
      </c>
      <c r="H21" s="102" t="str">
        <f>CONCATENATE(TURNI!L22)</f>
        <v/>
      </c>
      <c r="I21" s="102" t="str">
        <f>CONCATENATE(TURNI!Q22," ",TURNI!R22," ",TURNI!S22," ",TURNI!T22," ",TURNI!U22)</f>
        <v xml:space="preserve">    </v>
      </c>
      <c r="J21" s="102" t="str">
        <f>CONCATENATE(TURNI!V22," ",TURNI!W22," ",TURNI!X22," ",TURNI!Y22," ",TURNI!Z22)</f>
        <v xml:space="preserve">    </v>
      </c>
      <c r="K21" s="102" t="str">
        <f>CONCATENATE(TURNI!M22," ",TURNI!N22)</f>
        <v xml:space="preserve"> </v>
      </c>
      <c r="L21" s="102" t="str">
        <f>CONCATENATE(TURNI!O22)</f>
        <v/>
      </c>
      <c r="M21" s="102" t="str">
        <f>CONCATENATE(TURNI!P22)</f>
        <v/>
      </c>
      <c r="N21" s="101" t="str">
        <f>CONCATENATE(TURNI!G22," ",TURNI!H22)</f>
        <v xml:space="preserve">RUS </v>
      </c>
      <c r="O21" s="101" t="str">
        <f>CONCATENATE(TURNI!AC22," ",TURNI!AD22)</f>
        <v xml:space="preserve">RUZ </v>
      </c>
      <c r="P21" s="101" t="str">
        <f>CONCATENATE(TURNI!AE22)</f>
        <v>MAS</v>
      </c>
      <c r="Q21" s="101" t="str">
        <f>(CONCATENATE(TURNI!AF22," ",TURNI!AG22," ",TURNI!AH22," ",TURNI!AI22," ",TURNI!AJ22," ",TURNI!AK22," ",TURNI!AL22," ",TURNI!AM22," ",TURNI!AN22," ",TURNI!AO22))</f>
        <v xml:space="preserve">BUR FUM DES       </v>
      </c>
    </row>
    <row r="22" spans="1:17" ht="25" thickBot="1" x14ac:dyDescent="0.25">
      <c r="A22" s="97">
        <v>19</v>
      </c>
      <c r="B22" s="98" t="str">
        <f>TURNI!B23</f>
        <v>L</v>
      </c>
      <c r="C22" s="96" t="str">
        <f>CONCATENATE(TURNI!C23," ",TURNI!D23)</f>
        <v xml:space="preserve">LAM </v>
      </c>
      <c r="D22" s="96" t="str">
        <f>CONCATENATE(TURNI!AA23," ",TURNI!AB23)</f>
        <v xml:space="preserve">RUS </v>
      </c>
      <c r="E22" s="96" t="str">
        <f>CONCATENATE(TURNI!E23," ",TURNI!F23)</f>
        <v xml:space="preserve">BON </v>
      </c>
      <c r="F22" s="96" t="str">
        <f>CONCATENATE(TURNI!I23," ",TURNI!J23)</f>
        <v xml:space="preserve"> </v>
      </c>
      <c r="G22" s="96" t="str">
        <f>CONCATENATE(TURNI!K23)</f>
        <v>SAL</v>
      </c>
      <c r="H22" s="96" t="str">
        <f>CONCATENATE(TURNI!L23)</f>
        <v>SAL</v>
      </c>
      <c r="I22" s="96" t="str">
        <f>CONCATENATE(TURNI!Q23," ",TURNI!R23," ",TURNI!S23," ",TURNI!T23," ",TURNI!U23)</f>
        <v xml:space="preserve">RUZ MAG OGG FUM </v>
      </c>
      <c r="J22" s="96" t="str">
        <f>CONCATENATE(TURNI!V23," ",TURNI!W23," ",TURNI!X23," ",TURNI!Y23," ",TURNI!Z23)</f>
        <v xml:space="preserve">MAS PAS   </v>
      </c>
      <c r="K22" s="96" t="str">
        <f>CONCATENATE(TURNI!M23," ",TURNI!N23)</f>
        <v xml:space="preserve"> </v>
      </c>
      <c r="L22" s="96" t="str">
        <f>CONCATENATE(TURNI!O23)</f>
        <v/>
      </c>
      <c r="M22" s="96" t="str">
        <f>CONCATENATE(TURNI!P23)</f>
        <v/>
      </c>
      <c r="N22" s="98" t="str">
        <f>CONCATENATE(TURNI!G23," ",TURNI!H23)</f>
        <v xml:space="preserve">DON </v>
      </c>
      <c r="O22" s="98" t="str">
        <f>CONCATENATE(TURNI!AC23," ",TURNI!AD23)</f>
        <v xml:space="preserve">MAS </v>
      </c>
      <c r="P22" s="98" t="str">
        <f>CONCATENATE(TURNI!AE23)</f>
        <v>RUZ</v>
      </c>
      <c r="Q22" s="98" t="str">
        <f>(CONCATENATE(TURNI!AF23," ",TURNI!AG23," ",TURNI!AH23," ",TURNI!AI23," ",TURNI!AJ23," ",TURNI!AK23," ",TURNI!AL23," ",TURNI!AM23," ",TURNI!AN23," ",TURNI!AO23))</f>
        <v xml:space="preserve">SES BUR DES       </v>
      </c>
    </row>
    <row r="23" spans="1:17" ht="25" thickBot="1" x14ac:dyDescent="0.25">
      <c r="A23" s="99">
        <v>20</v>
      </c>
      <c r="B23" s="98" t="str">
        <f>TURNI!B24</f>
        <v>MA</v>
      </c>
      <c r="C23" s="96" t="str">
        <f>CONCATENATE(TURNI!C24," ",TURNI!D24)</f>
        <v>MAG BUR</v>
      </c>
      <c r="D23" s="96" t="str">
        <f>CONCATENATE(TURNI!AA24," ",TURNI!AB24)</f>
        <v xml:space="preserve">PAS </v>
      </c>
      <c r="E23" s="96" t="str">
        <f>CONCATENATE(TURNI!E24," ",TURNI!F24)</f>
        <v xml:space="preserve">MAS </v>
      </c>
      <c r="F23" s="96" t="str">
        <f>CONCATENATE(TURNI!I24," ",TURNI!J24)</f>
        <v xml:space="preserve"> </v>
      </c>
      <c r="G23" s="96" t="str">
        <f>CONCATENATE(TURNI!K24)</f>
        <v>LAM</v>
      </c>
      <c r="H23" s="96" t="str">
        <f>CONCATENATE(TURNI!L24)</f>
        <v>LAM</v>
      </c>
      <c r="I23" s="96" t="str">
        <f>CONCATENATE(TURNI!Q24," ",TURNI!R24," ",TURNI!S24," ",TURNI!T24," ",TURNI!U24)</f>
        <v xml:space="preserve">COS RUS OGG FUM </v>
      </c>
      <c r="J23" s="96" t="str">
        <f>CONCATENATE(TURNI!V24," ",TURNI!W24," ",TURNI!X24," ",TURNI!Y24," ",TURNI!Z24)</f>
        <v xml:space="preserve">DON SAL   </v>
      </c>
      <c r="K23" s="96" t="str">
        <f>CONCATENATE(TURNI!M24," ",TURNI!N24)</f>
        <v xml:space="preserve"> </v>
      </c>
      <c r="L23" s="96" t="str">
        <f>CONCATENATE(TURNI!O24)</f>
        <v/>
      </c>
      <c r="M23" s="96" t="str">
        <f>CONCATENATE(TURNI!P24)</f>
        <v/>
      </c>
      <c r="N23" s="98" t="str">
        <f>CONCATENATE(TURNI!G24," ",TURNI!H24)</f>
        <v xml:space="preserve">BON </v>
      </c>
      <c r="O23" s="98" t="str">
        <f>CONCATENATE(TURNI!AC24," ",TURNI!AD24)</f>
        <v xml:space="preserve">SAL </v>
      </c>
      <c r="P23" s="98" t="str">
        <f>CONCATENATE(TURNI!AE24)</f>
        <v>DON</v>
      </c>
      <c r="Q23" s="98" t="str">
        <f>(CONCATENATE(TURNI!AF24," ",TURNI!AG24," ",TURNI!AH24," ",TURNI!AI24," ",TURNI!AJ24," ",TURNI!AK24," ",TURNI!AL24," ",TURNI!AM24," ",TURNI!AN24," ",TURNI!AO24))</f>
        <v xml:space="preserve">RUZ SES CUR DES      </v>
      </c>
    </row>
    <row r="24" spans="1:17" ht="25" thickBot="1" x14ac:dyDescent="0.25">
      <c r="A24" s="99">
        <v>21</v>
      </c>
      <c r="B24" s="98" t="str">
        <f>TURNI!B25</f>
        <v>M</v>
      </c>
      <c r="C24" s="96" t="str">
        <f>CONCATENATE(TURNI!C25," ",TURNI!D25)</f>
        <v xml:space="preserve">OGG </v>
      </c>
      <c r="D24" s="96" t="str">
        <f>CONCATENATE(TURNI!AA25," ",TURNI!AB25)</f>
        <v xml:space="preserve">MAS </v>
      </c>
      <c r="E24" s="96" t="str">
        <f>CONCATENATE(TURNI!E25," ",TURNI!F25)</f>
        <v xml:space="preserve">LAM </v>
      </c>
      <c r="F24" s="96" t="str">
        <f>CONCATENATE(TURNI!I25," ",TURNI!J25)</f>
        <v xml:space="preserve"> </v>
      </c>
      <c r="G24" s="96" t="str">
        <f>CONCATENATE(TURNI!K25)</f>
        <v>BON</v>
      </c>
      <c r="H24" s="96" t="str">
        <f>CONCATENATE(TURNI!L25)</f>
        <v>BON</v>
      </c>
      <c r="I24" s="96" t="str">
        <f>CONCATENATE(TURNI!Q25," ",TURNI!R25," ",TURNI!S25," ",TURNI!T25," ",TURNI!U25)</f>
        <v xml:space="preserve">COS RUS PAS DON </v>
      </c>
      <c r="J24" s="96" t="str">
        <f>CONCATENATE(TURNI!V25," ",TURNI!W25," ",TURNI!X25," ",TURNI!Y25," ",TURNI!Z25)</f>
        <v xml:space="preserve">MAG BUR SAN FUM </v>
      </c>
      <c r="K24" s="96" t="str">
        <f>CONCATENATE(TURNI!M25," ",TURNI!N25)</f>
        <v xml:space="preserve"> </v>
      </c>
      <c r="L24" s="96" t="str">
        <f>CONCATENATE(TURNI!O25)</f>
        <v/>
      </c>
      <c r="M24" s="96" t="str">
        <f>CONCATENATE(TURNI!P25)</f>
        <v/>
      </c>
      <c r="N24" s="98" t="str">
        <f>CONCATENATE(TURNI!G25," ",TURNI!H25)</f>
        <v xml:space="preserve">RUZ </v>
      </c>
      <c r="O24" s="98" t="str">
        <f>CONCATENATE(TURNI!AC25," ",TURNI!AD25)</f>
        <v xml:space="preserve">BUR </v>
      </c>
      <c r="P24" s="98" t="str">
        <f>CONCATENATE(TURNI!AE25)</f>
        <v>MAG</v>
      </c>
      <c r="Q24" s="98" t="str">
        <f>(CONCATENATE(TURNI!AF25," ",TURNI!AG25," ",TURNI!AH25," ",TURNI!AI25," ",TURNI!AJ25," ",TURNI!AK25," ",TURNI!AL25," ",TURNI!AM25," ",TURNI!AN25," ",TURNI!AO25))</f>
        <v xml:space="preserve">SES CUR DES SAL      </v>
      </c>
    </row>
    <row r="25" spans="1:17" ht="16" thickBot="1" x14ac:dyDescent="0.25">
      <c r="A25" s="97">
        <v>22</v>
      </c>
      <c r="B25" s="98" t="str">
        <f>TURNI!B26</f>
        <v>G</v>
      </c>
      <c r="C25" s="96" t="str">
        <f>CONCATENATE(TURNI!C26," ",TURNI!D26)</f>
        <v xml:space="preserve">DON </v>
      </c>
      <c r="D25" s="96" t="str">
        <f>CONCATENATE(TURNI!AA26," ",TURNI!AB26)</f>
        <v xml:space="preserve">SAL </v>
      </c>
      <c r="E25" s="96" t="str">
        <f>CONCATENATE(TURNI!E26," ",TURNI!F26)</f>
        <v xml:space="preserve">RUS </v>
      </c>
      <c r="F25" s="96" t="str">
        <f>CONCATENATE(TURNI!I26," ",TURNI!J26)</f>
        <v xml:space="preserve"> </v>
      </c>
      <c r="G25" s="96" t="str">
        <f>CONCATENATE(TURNI!K26)</f>
        <v>LAM</v>
      </c>
      <c r="H25" s="96" t="str">
        <f>CONCATENATE(TURNI!L26)</f>
        <v>LAM</v>
      </c>
      <c r="I25" s="96" t="str">
        <f>CONCATENATE(TURNI!Q26," ",TURNI!R26," ",TURNI!S26," ",TURNI!T26," ",TURNI!U26)</f>
        <v xml:space="preserve">OGG FUM   </v>
      </c>
      <c r="J25" s="96" t="str">
        <f>CONCATENATE(TURNI!V26," ",TURNI!W26," ",TURNI!X26," ",TURNI!Y26," ",TURNI!Z26)</f>
        <v xml:space="preserve">RUZ BON   </v>
      </c>
      <c r="K25" s="96" t="str">
        <f>CONCATENATE(TURNI!M26," ",TURNI!N26)</f>
        <v>MAS SAN</v>
      </c>
      <c r="L25" s="96" t="str">
        <f>CONCATENATE(TURNI!O26)</f>
        <v/>
      </c>
      <c r="M25" s="96" t="str">
        <f>CONCATENATE(TURNI!P26)</f>
        <v>BUR</v>
      </c>
      <c r="N25" s="98" t="str">
        <f>CONCATENATE(TURNI!G26," ",TURNI!H26)</f>
        <v xml:space="preserve">MAG </v>
      </c>
      <c r="O25" s="98" t="str">
        <f>CONCATENATE(TURNI!AC26," ",TURNI!AD26)</f>
        <v xml:space="preserve">RUZ </v>
      </c>
      <c r="P25" s="98" t="str">
        <f>CONCATENATE(TURNI!AE26)</f>
        <v>BON</v>
      </c>
      <c r="Q25" s="98" t="str">
        <f>(CONCATENATE(TURNI!AF26," ",TURNI!AG26," ",TURNI!AH26," ",TURNI!AI26," ",TURNI!AJ26," ",TURNI!AK26," ",TURNI!AL26," ",TURNI!AM26," ",TURNI!AN26," ",TURNI!AO26))</f>
        <v xml:space="preserve">SES CUR DES PAS (BLS)      </v>
      </c>
    </row>
    <row r="26" spans="1:17" ht="25" thickBot="1" x14ac:dyDescent="0.25">
      <c r="A26" s="97">
        <v>23</v>
      </c>
      <c r="B26" s="98" t="str">
        <f>TURNI!B27</f>
        <v>V</v>
      </c>
      <c r="C26" s="96" t="str">
        <f>CONCATENATE(TURNI!C27," ",TURNI!D27)</f>
        <v>MAG BON</v>
      </c>
      <c r="D26" s="96" t="str">
        <f>CONCATENATE(TURNI!AA27," ",TURNI!AB27)</f>
        <v xml:space="preserve">SAN </v>
      </c>
      <c r="E26" s="96" t="str">
        <f>CONCATENATE(TURNI!E27," ",TURNI!F27)</f>
        <v xml:space="preserve">RUS </v>
      </c>
      <c r="F26" s="96" t="str">
        <f>CONCATENATE(TURNI!I27," ",TURNI!J27)</f>
        <v xml:space="preserve"> </v>
      </c>
      <c r="G26" s="96" t="str">
        <f>CONCATENATE(TURNI!K27)</f>
        <v>MAS</v>
      </c>
      <c r="H26" s="96" t="str">
        <f>CONCATENATE(TURNI!L27)</f>
        <v>MAS</v>
      </c>
      <c r="I26" s="96" t="str">
        <f>CONCATENATE(TURNI!Q27," ",TURNI!R27," ",TURNI!S27," ",TURNI!T27," ",TURNI!U27)</f>
        <v xml:space="preserve">RUZ SAL DON BUR </v>
      </c>
      <c r="J26" s="96" t="str">
        <f>CONCATENATE(TURNI!V27," ",TURNI!W27," ",TURNI!X27," ",TURNI!Y27," ",TURNI!Z27)</f>
        <v xml:space="preserve">RUZ SAL PAS FUM </v>
      </c>
      <c r="K26" s="96" t="str">
        <f>CONCATENATE(TURNI!M27," ",TURNI!N27)</f>
        <v xml:space="preserve"> </v>
      </c>
      <c r="L26" s="96" t="str">
        <f>CONCATENATE(TURNI!O27)</f>
        <v/>
      </c>
      <c r="M26" s="96" t="str">
        <f>CONCATENATE(TURNI!P27)</f>
        <v/>
      </c>
      <c r="N26" s="98" t="str">
        <f>CONCATENATE(TURNI!G27," ",TURNI!H27)</f>
        <v xml:space="preserve">LAM </v>
      </c>
      <c r="O26" s="98" t="str">
        <f>CONCATENATE(TURNI!AC27," ",TURNI!AD27)</f>
        <v xml:space="preserve">FUM </v>
      </c>
      <c r="P26" s="98" t="str">
        <f>CONCATENATE(TURNI!AE27)</f>
        <v>PAS</v>
      </c>
      <c r="Q26" s="98" t="str">
        <f>(CONCATENATE(TURNI!AF27," ",TURNI!AG27," ",TURNI!AH27," ",TURNI!AI27," ",TURNI!AJ27," ",TURNI!AK27," ",TURNI!AL27," ",TURNI!AM27," ",TURNI!AN27," ",TURNI!AO27))</f>
        <v xml:space="preserve">OGG SES CUR DES      </v>
      </c>
    </row>
    <row r="27" spans="1:17" s="75" customFormat="1" ht="16" thickBot="1" x14ac:dyDescent="0.25">
      <c r="A27" s="100">
        <v>24</v>
      </c>
      <c r="B27" s="101" t="str">
        <f>TURNI!B28</f>
        <v>S</v>
      </c>
      <c r="C27" s="102" t="str">
        <f>CONCATENATE(TURNI!C28," ",TURNI!D28)</f>
        <v xml:space="preserve"> </v>
      </c>
      <c r="D27" s="102" t="str">
        <f>CONCATENATE(TURNI!AA28," ",TURNI!AB28)</f>
        <v xml:space="preserve"> </v>
      </c>
      <c r="E27" s="102" t="str">
        <f>CONCATENATE(TURNI!E28," ",TURNI!F28)</f>
        <v xml:space="preserve"> </v>
      </c>
      <c r="F27" s="102" t="str">
        <f>CONCATENATE(TURNI!I28," ",TURNI!J28)</f>
        <v xml:space="preserve"> </v>
      </c>
      <c r="G27" s="102" t="str">
        <f>CONCATENATE(TURNI!K28)</f>
        <v/>
      </c>
      <c r="H27" s="102" t="str">
        <f>CONCATENATE(TURNI!L28)</f>
        <v/>
      </c>
      <c r="I27" s="102" t="str">
        <f>CONCATENATE(TURNI!Q28," ",TURNI!R28," ",TURNI!S28," ",TURNI!T28," ",TURNI!U28)</f>
        <v xml:space="preserve">    </v>
      </c>
      <c r="J27" s="102" t="str">
        <f>CONCATENATE(TURNI!V28," ",TURNI!W28," ",TURNI!X28," ",TURNI!Y28," ",TURNI!Z28)</f>
        <v xml:space="preserve">    </v>
      </c>
      <c r="K27" s="102" t="str">
        <f>CONCATENATE(TURNI!M28," ",TURNI!N28)</f>
        <v xml:space="preserve"> </v>
      </c>
      <c r="L27" s="102" t="str">
        <f>CONCATENATE(TURNI!O28)</f>
        <v/>
      </c>
      <c r="M27" s="102" t="str">
        <f>CONCATENATE(TURNI!P28)</f>
        <v/>
      </c>
      <c r="N27" s="101" t="str">
        <f>CONCATENATE(TURNI!G28," ",TURNI!H28)</f>
        <v xml:space="preserve">MAG </v>
      </c>
      <c r="O27" s="101" t="str">
        <f>CONCATENATE(TURNI!AC28," ",TURNI!AD28)</f>
        <v xml:space="preserve">MAG </v>
      </c>
      <c r="P27" s="101" t="str">
        <f>CONCATENATE(TURNI!AE28)</f>
        <v>FUM</v>
      </c>
      <c r="Q27" s="101" t="str">
        <f>(CONCATENATE(TURNI!AF28," ",TURNI!AG28," ",TURNI!AH28," ",TURNI!AI28," ",TURNI!AJ28," ",TURNI!AK28," ",TURNI!AL28," ",TURNI!AM28," ",TURNI!AN28," ",TURNI!AO28))</f>
        <v xml:space="preserve">MAS SES PAS DES      </v>
      </c>
    </row>
    <row r="28" spans="1:17" s="75" customFormat="1" ht="16" thickBot="1" x14ac:dyDescent="0.25">
      <c r="A28" s="100">
        <v>25</v>
      </c>
      <c r="B28" s="101" t="str">
        <f>TURNI!B29</f>
        <v>D</v>
      </c>
      <c r="C28" s="102" t="str">
        <f>CONCATENATE(TURNI!C29," ",TURNI!D29)</f>
        <v xml:space="preserve"> </v>
      </c>
      <c r="D28" s="102" t="str">
        <f>CONCATENATE(TURNI!AA29," ",TURNI!AB29)</f>
        <v xml:space="preserve"> </v>
      </c>
      <c r="E28" s="102" t="str">
        <f>CONCATENATE(TURNI!E29," ",TURNI!F29)</f>
        <v xml:space="preserve"> </v>
      </c>
      <c r="F28" s="102" t="str">
        <f>CONCATENATE(TURNI!I29," ",TURNI!J29)</f>
        <v xml:space="preserve"> </v>
      </c>
      <c r="G28" s="102" t="str">
        <f>CONCATENATE(TURNI!K29)</f>
        <v/>
      </c>
      <c r="H28" s="102" t="str">
        <f>CONCATENATE(TURNI!L29)</f>
        <v/>
      </c>
      <c r="I28" s="102" t="str">
        <f>CONCATENATE(TURNI!Q29," ",TURNI!R29," ",TURNI!S29," ",TURNI!T29," ",TURNI!U29)</f>
        <v xml:space="preserve">    </v>
      </c>
      <c r="J28" s="102" t="str">
        <f>CONCATENATE(TURNI!V29," ",TURNI!W29," ",TURNI!X29," ",TURNI!Y29," ",TURNI!Z29)</f>
        <v xml:space="preserve">    </v>
      </c>
      <c r="K28" s="102" t="str">
        <f>CONCATENATE(TURNI!M29," ",TURNI!N29)</f>
        <v xml:space="preserve"> </v>
      </c>
      <c r="L28" s="102" t="str">
        <f>CONCATENATE(TURNI!O29)</f>
        <v/>
      </c>
      <c r="M28" s="102" t="str">
        <f>CONCATENATE(TURNI!P29)</f>
        <v/>
      </c>
      <c r="N28" s="101" t="str">
        <f>CONCATENATE(TURNI!G29," ",TURNI!H29)</f>
        <v xml:space="preserve">FUM </v>
      </c>
      <c r="O28" s="101" t="str">
        <f>CONCATENATE(TURNI!AC29," ",TURNI!AD29)</f>
        <v xml:space="preserve">FUM </v>
      </c>
      <c r="P28" s="101" t="str">
        <f>CONCATENATE(TURNI!AE29)</f>
        <v>MAG</v>
      </c>
      <c r="Q28" s="101" t="str">
        <f>(CONCATENATE(TURNI!AF29," ",TURNI!AG29," ",TURNI!AH29," ",TURNI!AI29," ",TURNI!AJ29," ",TURNI!AK29," ",TURNI!AL29," ",TURNI!AM29," ",TURNI!AN29," ",TURNI!AO29))</f>
        <v xml:space="preserve">MAS SES PAS DES      </v>
      </c>
    </row>
    <row r="29" spans="1:17" ht="25" thickBot="1" x14ac:dyDescent="0.25">
      <c r="A29" s="97">
        <v>26</v>
      </c>
      <c r="B29" s="98" t="str">
        <f>TURNI!B30</f>
        <v>L</v>
      </c>
      <c r="C29" s="96" t="str">
        <f>CONCATENATE(TURNI!C30," ",TURNI!D30)</f>
        <v xml:space="preserve">ROMA </v>
      </c>
      <c r="D29" s="96" t="str">
        <f>CONCATENATE(TURNI!AA30," ",TURNI!AB30)</f>
        <v xml:space="preserve">SAL </v>
      </c>
      <c r="E29" s="96" t="str">
        <f>CONCATENATE(TURNI!E30," ",TURNI!F30)</f>
        <v xml:space="preserve">RUZ </v>
      </c>
      <c r="F29" s="96" t="str">
        <f>CONCATENATE(TURNI!I30," ",TURNI!J30)</f>
        <v>SAN SPEC</v>
      </c>
      <c r="G29" s="96" t="str">
        <f>CONCATENATE(TURNI!K30)</f>
        <v>FUM</v>
      </c>
      <c r="H29" s="96" t="str">
        <f>CONCATENATE(TURNI!L30)</f>
        <v>FUM</v>
      </c>
      <c r="I29" s="96" t="str">
        <f>CONCATENATE(TURNI!Q30," ",TURNI!R30," ",TURNI!S30," ",TURNI!T30," ",TURNI!U30)</f>
        <v xml:space="preserve">MAG DES BUR LAM </v>
      </c>
      <c r="J29" s="96" t="str">
        <f>CONCATENATE(TURNI!V30," ",TURNI!W30," ",TURNI!X30," ",TURNI!Y30," ",TURNI!Z30)</f>
        <v xml:space="preserve">DON BON   </v>
      </c>
      <c r="K29" s="96" t="str">
        <f>CONCATENATE(TURNI!M30," ",TURNI!N30)</f>
        <v xml:space="preserve"> </v>
      </c>
      <c r="L29" s="96" t="str">
        <f>CONCATENATE(TURNI!O30)</f>
        <v/>
      </c>
      <c r="M29" s="96" t="str">
        <f>CONCATENATE(TURNI!P30)</f>
        <v/>
      </c>
      <c r="N29" s="98" t="str">
        <f>CONCATENATE(TURNI!G30," ",TURNI!H30)</f>
        <v xml:space="preserve">OGG </v>
      </c>
      <c r="O29" s="98" t="str">
        <f>CONCATENATE(TURNI!AC30," ",TURNI!AD30)</f>
        <v xml:space="preserve">BON </v>
      </c>
      <c r="P29" s="98" t="str">
        <f>CONCATENATE(TURNI!AE30)</f>
        <v>DON</v>
      </c>
      <c r="Q29" s="98" t="str">
        <f>(CONCATENATE(TURNI!AF30," ",TURNI!AG30," ",TURNI!AH30," ",TURNI!AI30," ",TURNI!AJ30," ",TURNI!AK30," ",TURNI!AL30," ",TURNI!AM30," ",TURNI!AN30," ",TURNI!AO30))</f>
        <v xml:space="preserve">MAS PAS CUR SES (GIAN)      </v>
      </c>
    </row>
    <row r="30" spans="1:17" ht="25" thickBot="1" x14ac:dyDescent="0.25">
      <c r="A30" s="99">
        <v>27</v>
      </c>
      <c r="B30" s="98" t="str">
        <f>TURNI!B31</f>
        <v>MA</v>
      </c>
      <c r="C30" s="96" t="str">
        <f>CONCATENATE(TURNI!C31," ",TURNI!D31)</f>
        <v>LAM BON</v>
      </c>
      <c r="D30" s="96" t="str">
        <f>CONCATENATE(TURNI!AA31," ",TURNI!AB31)</f>
        <v xml:space="preserve">RUZ </v>
      </c>
      <c r="E30" s="96" t="str">
        <f>CONCATENATE(TURNI!E31," ",TURNI!F31)</f>
        <v xml:space="preserve">DON </v>
      </c>
      <c r="F30" s="96" t="str">
        <f>CONCATENATE(TURNI!I31," ",TURNI!J31)</f>
        <v xml:space="preserve"> </v>
      </c>
      <c r="G30" s="96" t="str">
        <f>CONCATENATE(TURNI!K31)</f>
        <v>MAG</v>
      </c>
      <c r="H30" s="96" t="str">
        <f>CONCATENATE(TURNI!L31)</f>
        <v>SES</v>
      </c>
      <c r="I30" s="96" t="str">
        <f>CONCATENATE(TURNI!Q31," ",TURNI!R31," ",TURNI!S31," ",TURNI!T31," ",TURNI!U31)</f>
        <v xml:space="preserve">COS RUS OGG FUM </v>
      </c>
      <c r="J30" s="96" t="str">
        <f>CONCATENATE(TURNI!V31," ",TURNI!W31," ",TURNI!X31," ",TURNI!Y31," ",TURNI!Z31)</f>
        <v xml:space="preserve">BUR DES   </v>
      </c>
      <c r="K30" s="96" t="str">
        <f>CONCATENATE(TURNI!M31," ",TURNI!N31)</f>
        <v xml:space="preserve"> </v>
      </c>
      <c r="L30" s="96" t="str">
        <f>CONCATENATE(TURNI!O31)</f>
        <v>SES</v>
      </c>
      <c r="M30" s="96" t="str">
        <f>CONCATENATE(TURNI!P31)</f>
        <v/>
      </c>
      <c r="N30" s="98" t="str">
        <f>CONCATENATE(TURNI!G31," ",TURNI!H31)</f>
        <v xml:space="preserve">SAL </v>
      </c>
      <c r="O30" s="98" t="str">
        <f>CONCATENATE(TURNI!AC31," ",TURNI!AD31)</f>
        <v xml:space="preserve">DES </v>
      </c>
      <c r="P30" s="98" t="str">
        <f>CONCATENATE(TURNI!AE31)</f>
        <v>BUR</v>
      </c>
      <c r="Q30" s="98" t="str">
        <f>(CONCATENATE(TURNI!AF31," ",TURNI!AG31," ",TURNI!AH31," ",TURNI!AI31," ",TURNI!AJ31," ",TURNI!AK31," ",TURNI!AL31," ",TURNI!AM31," ",TURNI!AN31," ",TURNI!AO31))</f>
        <v xml:space="preserve">MAS PAS CUR       </v>
      </c>
    </row>
    <row r="31" spans="1:17" ht="25" thickBot="1" x14ac:dyDescent="0.25">
      <c r="A31" s="99">
        <v>28</v>
      </c>
      <c r="B31" s="98" t="str">
        <f>TURNI!B32</f>
        <v>M</v>
      </c>
      <c r="C31" s="96" t="str">
        <f>CONCATENATE(TURNI!C32," ",TURNI!D32)</f>
        <v xml:space="preserve">FUM </v>
      </c>
      <c r="D31" s="96" t="str">
        <f>CONCATENATE(TURNI!AA32," ",TURNI!AB32)</f>
        <v xml:space="preserve">DES </v>
      </c>
      <c r="E31" s="96" t="str">
        <f>CONCATENATE(TURNI!E32," ",TURNI!F32)</f>
        <v xml:space="preserve">BON </v>
      </c>
      <c r="F31" s="96" t="str">
        <f>CONCATENATE(TURNI!I32," ",TURNI!J32)</f>
        <v xml:space="preserve"> </v>
      </c>
      <c r="G31" s="96" t="str">
        <f>CONCATENATE(TURNI!K32)</f>
        <v>BUR</v>
      </c>
      <c r="H31" s="96" t="str">
        <f>CONCATENATE(TURNI!L32)</f>
        <v>DON</v>
      </c>
      <c r="I31" s="96" t="str">
        <f>CONCATENATE(TURNI!Q32," ",TURNI!R32," ",TURNI!S32," ",TURNI!T32," ",TURNI!U32)</f>
        <v xml:space="preserve">COS RUS SES SAL </v>
      </c>
      <c r="J31" s="96" t="str">
        <f>CONCATENATE(TURNI!V32," ",TURNI!W32," ",TURNI!X32," ",TURNI!Y32," ",TURNI!Z32)</f>
        <v xml:space="preserve">OGG MAG SAN LAM </v>
      </c>
      <c r="K31" s="96" t="str">
        <f>CONCATENATE(TURNI!M32," ",TURNI!N32)</f>
        <v xml:space="preserve"> </v>
      </c>
      <c r="L31" s="96" t="str">
        <f>CONCATENATE(TURNI!O32)</f>
        <v/>
      </c>
      <c r="M31" s="96" t="str">
        <f>CONCATENATE(TURNI!P32)</f>
        <v/>
      </c>
      <c r="N31" s="98" t="str">
        <f>CONCATENATE(TURNI!G32," ",TURNI!H32)</f>
        <v xml:space="preserve">RUZ </v>
      </c>
      <c r="O31" s="98" t="str">
        <f>CONCATENATE(TURNI!AC32," ",TURNI!AD32)</f>
        <v xml:space="preserve">MAG </v>
      </c>
      <c r="P31" s="98" t="str">
        <f>CONCATENATE(TURNI!AE32)</f>
        <v>OGG</v>
      </c>
      <c r="Q31" s="98" t="str">
        <f>(CONCATENATE(TURNI!AF32," ",TURNI!AG32," ",TURNI!AH32," ",TURNI!AI32," ",TURNI!AJ32," ",TURNI!AK32," ",TURNI!AL32," ",TURNI!AM32," ",TURNI!AN32," ",TURNI!AO32))</f>
        <v xml:space="preserve">MAS PAS CUR       </v>
      </c>
    </row>
    <row r="32" spans="1:17" ht="16" thickBot="1" x14ac:dyDescent="0.25">
      <c r="A32" s="97">
        <v>29</v>
      </c>
      <c r="B32" s="98" t="str">
        <f>TURNI!B33</f>
        <v>G</v>
      </c>
      <c r="C32" s="96" t="str">
        <f>CONCATENATE(TURNI!C33," ",TURNI!D33)</f>
        <v xml:space="preserve">SES </v>
      </c>
      <c r="D32" s="96" t="str">
        <f>CONCATENATE(TURNI!AA33," ",TURNI!AB33)</f>
        <v xml:space="preserve">DON </v>
      </c>
      <c r="E32" s="96" t="str">
        <f>CONCATENATE(TURNI!E33," ",TURNI!F33)</f>
        <v xml:space="preserve">LAM </v>
      </c>
      <c r="F32" s="96" t="str">
        <f>CONCATENATE(TURNI!I33," ",TURNI!J33)</f>
        <v xml:space="preserve"> </v>
      </c>
      <c r="G32" s="96" t="str">
        <f>CONCATENATE(TURNI!K33)</f>
        <v>RUZ</v>
      </c>
      <c r="H32" s="96" t="str">
        <f>CONCATENATE(TURNI!L33)</f>
        <v>BON</v>
      </c>
      <c r="I32" s="96" t="str">
        <f>CONCATENATE(TURNI!Q33," ",TURNI!R33," ",TURNI!S33," ",TURNI!T33," ",TURNI!U33)</f>
        <v xml:space="preserve">OGG DES   </v>
      </c>
      <c r="J32" s="96" t="str">
        <f>CONCATENATE(TURNI!V33," ",TURNI!W33," ",TURNI!X33," ",TURNI!Y33," ",TURNI!Z33)</f>
        <v xml:space="preserve">BUR SAL   </v>
      </c>
      <c r="K32" s="96" t="str">
        <f>CONCATENATE(TURNI!M33," ",TURNI!N33)</f>
        <v>MAS SAN</v>
      </c>
      <c r="L32" s="96" t="str">
        <f>CONCATENATE(TURNI!O33)</f>
        <v/>
      </c>
      <c r="M32" s="96" t="str">
        <f>CONCATENATE(TURNI!P33)</f>
        <v>FUM</v>
      </c>
      <c r="N32" s="98" t="str">
        <f>CONCATENATE(TURNI!G33," ",TURNI!H33)</f>
        <v xml:space="preserve">MAG </v>
      </c>
      <c r="O32" s="98" t="str">
        <f>CONCATENATE(TURNI!AC33," ",TURNI!AD33)</f>
        <v xml:space="preserve">SAL </v>
      </c>
      <c r="P32" s="98" t="str">
        <f>CONCATENATE(TURNI!AE33)</f>
        <v>BUR</v>
      </c>
      <c r="Q32" s="98" t="str">
        <f>(CONCATENATE(TURNI!AF33," ",TURNI!AG33," ",TURNI!AH33," ",TURNI!AI33," ",TURNI!AJ33," ",TURNI!AK33," ",TURNI!AL33," ",TURNI!AM33," ",TURNI!AN33," ",TURNI!AO33))</f>
        <v xml:space="preserve">PAS CUR        </v>
      </c>
    </row>
    <row r="33" spans="1:17" ht="25" thickBot="1" x14ac:dyDescent="0.25">
      <c r="A33" s="97">
        <v>30</v>
      </c>
      <c r="B33" s="98" t="str">
        <f>TURNI!B34</f>
        <v>V</v>
      </c>
      <c r="C33" s="96" t="str">
        <f>CONCATENATE(TURNI!C34," ",TURNI!D34)</f>
        <v>MAG BUR</v>
      </c>
      <c r="D33" s="96" t="str">
        <f>CONCATENATE(TURNI!AA34," ",TURNI!AB34)</f>
        <v xml:space="preserve">SAN </v>
      </c>
      <c r="E33" s="96" t="str">
        <f>CONCATENATE(TURNI!E34," ",TURNI!F34)</f>
        <v xml:space="preserve">RUS </v>
      </c>
      <c r="F33" s="96" t="str">
        <f>CONCATENATE(TURNI!I34," ",TURNI!J34)</f>
        <v xml:space="preserve"> </v>
      </c>
      <c r="G33" s="96" t="str">
        <f>CONCATENATE(TURNI!K34)</f>
        <v>BON</v>
      </c>
      <c r="H33" s="96" t="str">
        <f>CONCATENATE(TURNI!L34)</f>
        <v>BON</v>
      </c>
      <c r="I33" s="96" t="str">
        <f>CONCATENATE(TURNI!Q34," ",TURNI!R34," ",TURNI!S34," ",TURNI!T34," ",TURNI!U34)</f>
        <v xml:space="preserve">RUZ LAM SES FUM </v>
      </c>
      <c r="J33" s="96" t="str">
        <f>CONCATENATE(TURNI!V34," ",TURNI!W34," ",TURNI!X34," ",TURNI!Y34," ",TURNI!Z34)</f>
        <v xml:space="preserve">RUZ DES MAS SAL </v>
      </c>
      <c r="K33" s="96" t="str">
        <f>CONCATENATE(TURNI!M34," ",TURNI!N34)</f>
        <v xml:space="preserve"> </v>
      </c>
      <c r="L33" s="96" t="str">
        <f>CONCATENATE(TURNI!O34)</f>
        <v/>
      </c>
      <c r="M33" s="96" t="str">
        <f>CONCATENATE(TURNI!P34)</f>
        <v/>
      </c>
      <c r="N33" s="98" t="str">
        <f>CONCATENATE(TURNI!G34," ",TURNI!H34)</f>
        <v xml:space="preserve">DON </v>
      </c>
      <c r="O33" s="98" t="str">
        <f>CONCATENATE(TURNI!AC34," ",TURNI!AD34)</f>
        <v xml:space="preserve">DES </v>
      </c>
      <c r="P33" s="98" t="str">
        <f>CONCATENATE(TURNI!AE34)</f>
        <v>MAS</v>
      </c>
      <c r="Q33" s="98" t="str">
        <f>(CONCATENATE(TURNI!AF34," ",TURNI!AG34," ",TURNI!AH34," ",TURNI!AI34," ",TURNI!AJ34," ",TURNI!AK34," ",TURNI!AL34," ",TURNI!AM34," ",TURNI!AN34," ",TURNI!AO34))</f>
        <v xml:space="preserve">OGG PAS CUR       </v>
      </c>
    </row>
    <row r="34" spans="1:17" s="75" customFormat="1" ht="16" thickBot="1" x14ac:dyDescent="0.25">
      <c r="A34" s="103">
        <v>31</v>
      </c>
      <c r="B34" s="101" t="str">
        <f>TURNI!B35</f>
        <v>S</v>
      </c>
      <c r="C34" s="102" t="str">
        <f>CONCATENATE(TURNI!C35," ",TURNI!D35)</f>
        <v xml:space="preserve"> </v>
      </c>
      <c r="D34" s="102" t="str">
        <f>CONCATENATE(TURNI!AA35," ",TURNI!AB35)</f>
        <v xml:space="preserve"> </v>
      </c>
      <c r="E34" s="102" t="str">
        <f>CONCATENATE(TURNI!E35," ",TURNI!F35)</f>
        <v xml:space="preserve"> </v>
      </c>
      <c r="F34" s="102" t="str">
        <f>CONCATENATE(TURNI!I35," ",TURNI!J35)</f>
        <v xml:space="preserve"> </v>
      </c>
      <c r="G34" s="102" t="str">
        <f>CONCATENATE(TURNI!K35)</f>
        <v/>
      </c>
      <c r="H34" s="102" t="str">
        <f>CONCATENATE(TURNI!L35)</f>
        <v/>
      </c>
      <c r="I34" s="102" t="str">
        <f>CONCATENATE(TURNI!Q35," ",TURNI!R35," ",TURNI!S35," ",TURNI!T35," ",TURNI!U35)</f>
        <v xml:space="preserve">    </v>
      </c>
      <c r="J34" s="102" t="str">
        <f>CONCATENATE(TURNI!V35," ",TURNI!W35," ",TURNI!X35," ",TURNI!Y35," ",TURNI!Z35)</f>
        <v xml:space="preserve">    </v>
      </c>
      <c r="K34" s="102" t="str">
        <f>CONCATENATE(TURNI!M35," ",TURNI!N35)</f>
        <v xml:space="preserve"> </v>
      </c>
      <c r="L34" s="102" t="str">
        <f>CONCATENATE(TURNI!O35)</f>
        <v/>
      </c>
      <c r="M34" s="102" t="str">
        <f>CONCATENATE(TURNI!P35)</f>
        <v/>
      </c>
      <c r="N34" s="101" t="str">
        <f>CONCATENATE(TURNI!G35," ",TURNI!H35)</f>
        <v xml:space="preserve">FUM </v>
      </c>
      <c r="O34" s="101" t="str">
        <f>CONCATENATE(TURNI!AC35," ",TURNI!AD35)</f>
        <v xml:space="preserve">BUR </v>
      </c>
      <c r="P34" s="101" t="str">
        <f>CONCATENATE(TURNI!AE35)</f>
        <v>SES</v>
      </c>
      <c r="Q34" s="101" t="str">
        <f>(CONCATENATE(TURNI!AF35," ",TURNI!AG35," ",TURNI!AH35," ",TURNI!AI35," ",TURNI!AJ35," ",TURNI!AK35," ",TURNI!AL35," ",TURNI!AM35," ",TURNI!AN35," ",TURNI!AO35))</f>
        <v xml:space="preserve">DON PAS BON       </v>
      </c>
    </row>
  </sheetData>
  <mergeCells count="4">
    <mergeCell ref="C2:D2"/>
    <mergeCell ref="A2:B3"/>
    <mergeCell ref="I2:J2"/>
    <mergeCell ref="A1:Q1"/>
  </mergeCells>
  <conditionalFormatting sqref="B4">
    <cfRule type="expression" dxfId="82" priority="3">
      <formula>OR(B4="S", B4="D")</formula>
    </cfRule>
  </conditionalFormatting>
  <conditionalFormatting sqref="B4:B34">
    <cfRule type="containsText" dxfId="81" priority="1" operator="containsText" text="D">
      <formula>NOT(ISERROR(SEARCH("D",B4)))</formula>
    </cfRule>
    <cfRule type="containsText" dxfId="80" priority="2" operator="containsText" text="S">
      <formula>NOT(ISERROR(SEARCH("S",B4)))</formula>
    </cfRule>
  </conditionalFormatting>
  <printOptions horizontalCentered="1"/>
  <pageMargins left="0.19685039370078741" right="0.19685039370078741" top="0.19685039370078741" bottom="0.78740157480314965" header="0.31496062992125984" footer="0.31496062992125984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B7038-7F27-439C-8821-6DE78A98F47C}">
  <sheetPr codeName="Sheet4"/>
  <dimension ref="A1:AH272"/>
  <sheetViews>
    <sheetView zoomScale="125" zoomScaleNormal="125" workbookViewId="0">
      <selection activeCell="U13" sqref="U13:V13"/>
    </sheetView>
  </sheetViews>
  <sheetFormatPr baseColWidth="10" defaultColWidth="8.83203125" defaultRowHeight="15" x14ac:dyDescent="0.2"/>
  <cols>
    <col min="1" max="25" width="4.6640625" customWidth="1"/>
    <col min="26" max="26" width="9.33203125" bestFit="1" customWidth="1"/>
    <col min="27" max="27" width="9" bestFit="1" customWidth="1"/>
    <col min="28" max="30" width="4.6640625" customWidth="1"/>
  </cols>
  <sheetData>
    <row r="1" spans="1:34" ht="16" thickBot="1" x14ac:dyDescent="0.25">
      <c r="B1" s="142" t="s">
        <v>44</v>
      </c>
      <c r="C1" s="143"/>
      <c r="D1" s="142" t="s">
        <v>2</v>
      </c>
      <c r="E1" s="143"/>
      <c r="F1" s="142" t="s">
        <v>3</v>
      </c>
      <c r="G1" s="143"/>
      <c r="H1" s="142" t="s">
        <v>4</v>
      </c>
      <c r="I1" s="143"/>
      <c r="J1" s="150" t="s">
        <v>5</v>
      </c>
      <c r="K1" s="150" t="s">
        <v>6</v>
      </c>
      <c r="L1" s="158" t="s">
        <v>7</v>
      </c>
      <c r="M1" s="159"/>
      <c r="N1" s="150" t="s">
        <v>8</v>
      </c>
      <c r="O1" s="150" t="s">
        <v>9</v>
      </c>
      <c r="P1" s="142" t="s">
        <v>45</v>
      </c>
      <c r="Q1" s="156"/>
      <c r="R1" s="156"/>
      <c r="S1" s="156"/>
      <c r="T1" s="143"/>
      <c r="U1" s="138" t="s">
        <v>13</v>
      </c>
      <c r="V1" s="139"/>
      <c r="W1" s="15" t="s">
        <v>14</v>
      </c>
      <c r="Z1" s="130" t="s">
        <v>58</v>
      </c>
      <c r="AA1" s="131"/>
      <c r="AB1" s="131"/>
      <c r="AC1" s="132"/>
    </row>
    <row r="2" spans="1:34" ht="16" thickBot="1" x14ac:dyDescent="0.25">
      <c r="B2" s="173"/>
      <c r="C2" s="175"/>
      <c r="D2" s="173"/>
      <c r="E2" s="175"/>
      <c r="F2" s="173"/>
      <c r="G2" s="175"/>
      <c r="H2" s="173"/>
      <c r="I2" s="175"/>
      <c r="J2" s="178"/>
      <c r="K2" s="178"/>
      <c r="L2" s="179"/>
      <c r="M2" s="180"/>
      <c r="N2" s="178"/>
      <c r="O2" s="178"/>
      <c r="P2" s="173"/>
      <c r="Q2" s="174"/>
      <c r="R2" s="174"/>
      <c r="S2" s="174"/>
      <c r="T2" s="175"/>
      <c r="U2" s="176"/>
      <c r="V2" s="177"/>
      <c r="W2" s="18" t="s">
        <v>17</v>
      </c>
      <c r="Z2" s="238" t="s">
        <v>59</v>
      </c>
      <c r="AA2" s="239"/>
      <c r="AB2" s="240" t="s">
        <v>60</v>
      </c>
      <c r="AC2" s="136"/>
      <c r="AE2" t="s">
        <v>81</v>
      </c>
      <c r="AF2" t="s">
        <v>82</v>
      </c>
      <c r="AH2" t="s">
        <v>81</v>
      </c>
    </row>
    <row r="3" spans="1:34" ht="16" thickBot="1" x14ac:dyDescent="0.25">
      <c r="A3" s="13" t="s">
        <v>34</v>
      </c>
      <c r="B3" s="137">
        <f>B26+B47+B68+B89+B110+B131++B152+B173+B194+B215+B236+B257</f>
        <v>0</v>
      </c>
      <c r="C3" s="137"/>
      <c r="D3" s="137">
        <f>D26+D47+D68+D89+D110+D131++D152+D173+D194+D215+D236+D257</f>
        <v>0</v>
      </c>
      <c r="E3" s="137"/>
      <c r="F3" s="137">
        <f>F26+F47+F68+F89+F110+F131++F152+F173+F194+F215+F236+F257</f>
        <v>0</v>
      </c>
      <c r="G3" s="137"/>
      <c r="H3" s="137">
        <f>H26+H47+H68+H89+H110+H131++H152+H173+H194+H215+H236+H257</f>
        <v>0</v>
      </c>
      <c r="I3" s="137"/>
      <c r="J3" s="14">
        <f>J26+J47+J68+J89+J110+J131+J173+J152+J194+J215+J236+J257</f>
        <v>0</v>
      </c>
      <c r="K3" s="14">
        <f>K26+K47+K68+K89+K110+K131+K173+K152+K194+K215+K236+K257</f>
        <v>0</v>
      </c>
      <c r="L3" s="137">
        <f>L26+L47+L68+L89+L110+L131+L173+L152+L194+L215+L236+L257</f>
        <v>0</v>
      </c>
      <c r="M3" s="137"/>
      <c r="N3" s="14">
        <f>N26+N47+N68+N89+N110+N131+N173+N152+N194+N215+N236+N257</f>
        <v>0</v>
      </c>
      <c r="O3" s="14">
        <f>O26+O47+O68+O89+O110+O131+O173+O152+O194+O215+O236+O257</f>
        <v>0</v>
      </c>
      <c r="P3" s="137">
        <f>P26+P47+P68+P89+P110+P131+P173+P152+P194+P215+P236+P257</f>
        <v>0</v>
      </c>
      <c r="Q3" s="137"/>
      <c r="R3" s="137"/>
      <c r="S3" s="137"/>
      <c r="T3" s="137"/>
      <c r="U3" s="137">
        <f>U26+U47+U68+U89+U110+U131+U173+U152+U194+U215+U236+U257</f>
        <v>0</v>
      </c>
      <c r="V3" s="137"/>
      <c r="W3" s="14">
        <f>W26+W47+W68+W89+W110+W131+W173+W152+W194+W215+W236+W257</f>
        <v>0</v>
      </c>
      <c r="Y3" s="31" t="s">
        <v>32</v>
      </c>
      <c r="Z3" s="23">
        <f>Z26+Z47+Z68+Z89+Z110+Z131+Z152+Z173+Z194+Z215+Z236</f>
        <v>0</v>
      </c>
      <c r="AA3" s="23">
        <f t="shared" ref="AA3:AC3" si="0">AA26+AA47+AA68+AA89+AA110+AA131+AA152+AA173+AA194+AA215+AA236</f>
        <v>0</v>
      </c>
      <c r="AB3" s="23">
        <f t="shared" si="0"/>
        <v>0</v>
      </c>
      <c r="AC3" s="23">
        <f t="shared" si="0"/>
        <v>0</v>
      </c>
      <c r="AE3">
        <f>Z3+AA3</f>
        <v>0</v>
      </c>
      <c r="AF3">
        <f>AB3+AC3</f>
        <v>0</v>
      </c>
      <c r="AH3">
        <f>AE3+AF3</f>
        <v>0</v>
      </c>
    </row>
    <row r="4" spans="1:34" ht="16" thickBot="1" x14ac:dyDescent="0.25">
      <c r="A4" s="13" t="s">
        <v>32</v>
      </c>
      <c r="B4" s="137">
        <f t="shared" ref="B4:B18" si="1">B27+B48+B69+B90+B111+B132++B153+B174+B195+B216+B237+B258</f>
        <v>0</v>
      </c>
      <c r="C4" s="137"/>
      <c r="D4" s="137">
        <f t="shared" ref="D4:D18" si="2">D27+D48+D69+D90+D111+D132++D153+D174+D195+D216+D237+D258</f>
        <v>0</v>
      </c>
      <c r="E4" s="137"/>
      <c r="F4" s="137">
        <f t="shared" ref="F4:F18" si="3">F27+F48+F69+F90+F111+F132++F153+F174+F195+F216+F237+F258</f>
        <v>0</v>
      </c>
      <c r="G4" s="137"/>
      <c r="H4" s="137">
        <f t="shared" ref="H4:H18" si="4">H27+H48+H69+H90+H111+H132++H153+H174+H195+H216+H237+H258</f>
        <v>0</v>
      </c>
      <c r="I4" s="137"/>
      <c r="J4" s="14">
        <f t="shared" ref="J4:L18" si="5">J27+J48+J69+J90+J111+J132+J174+J153+J195+J216+J237+J258</f>
        <v>0</v>
      </c>
      <c r="K4" s="14">
        <f t="shared" si="5"/>
        <v>0</v>
      </c>
      <c r="L4" s="137">
        <f t="shared" si="5"/>
        <v>0</v>
      </c>
      <c r="M4" s="137"/>
      <c r="N4" s="14">
        <f t="shared" ref="N4:P18" si="6">N27+N48+N69+N90+N111+N132+N174+N153+N195+N216+N237+N258</f>
        <v>0</v>
      </c>
      <c r="O4" s="14">
        <f t="shared" si="6"/>
        <v>0</v>
      </c>
      <c r="P4" s="137">
        <f t="shared" si="6"/>
        <v>0</v>
      </c>
      <c r="Q4" s="137"/>
      <c r="R4" s="137"/>
      <c r="S4" s="137"/>
      <c r="T4" s="137"/>
      <c r="U4" s="137">
        <f t="shared" ref="U4:U18" si="7">U27+U48+U69+U90+U111+U132+U174+U153+U195+U216+U237+U258</f>
        <v>0</v>
      </c>
      <c r="V4" s="137"/>
      <c r="W4" s="14">
        <f t="shared" ref="W4:W18" si="8">W27+W48+W69+W90+W111+W132+W174+W153+W195+W216+W237+W258</f>
        <v>0</v>
      </c>
      <c r="Y4" s="13" t="s">
        <v>34</v>
      </c>
      <c r="Z4" s="23">
        <f>Z27+Z48+Z69+Z90+Z111+Z132+Z153+Z174+Z195+Z216+Z237</f>
        <v>0</v>
      </c>
      <c r="AA4" s="23">
        <f t="shared" ref="AA4:AC4" si="9">AA27+AA48+AA69+AA90+AA111+AA132+AA153+AA174+AA195+AA216+AA237</f>
        <v>0</v>
      </c>
      <c r="AB4" s="23">
        <f t="shared" si="9"/>
        <v>0</v>
      </c>
      <c r="AC4" s="23">
        <f t="shared" si="9"/>
        <v>0</v>
      </c>
      <c r="AE4">
        <f t="shared" ref="AE4:AE15" si="10">Z4+AA4</f>
        <v>0</v>
      </c>
      <c r="AF4">
        <f t="shared" ref="AF4:AF15" si="11">AB4+AC4</f>
        <v>0</v>
      </c>
      <c r="AH4">
        <f t="shared" ref="AH4:AH15" si="12">AE4+AF4</f>
        <v>0</v>
      </c>
    </row>
    <row r="5" spans="1:34" ht="16" thickBot="1" x14ac:dyDescent="0.25">
      <c r="A5" s="13" t="s">
        <v>33</v>
      </c>
      <c r="B5" s="137">
        <f t="shared" si="1"/>
        <v>0</v>
      </c>
      <c r="C5" s="137"/>
      <c r="D5" s="137">
        <f t="shared" si="2"/>
        <v>0</v>
      </c>
      <c r="E5" s="137"/>
      <c r="F5" s="137">
        <f t="shared" si="3"/>
        <v>0</v>
      </c>
      <c r="G5" s="137"/>
      <c r="H5" s="137">
        <f t="shared" si="4"/>
        <v>0</v>
      </c>
      <c r="I5" s="137"/>
      <c r="J5" s="14">
        <f t="shared" si="5"/>
        <v>0</v>
      </c>
      <c r="K5" s="14">
        <f t="shared" si="5"/>
        <v>0</v>
      </c>
      <c r="L5" s="137">
        <f t="shared" si="5"/>
        <v>0</v>
      </c>
      <c r="M5" s="137"/>
      <c r="N5" s="14">
        <f t="shared" si="6"/>
        <v>0</v>
      </c>
      <c r="O5" s="14">
        <f t="shared" si="6"/>
        <v>0</v>
      </c>
      <c r="P5" s="137">
        <f t="shared" si="6"/>
        <v>0</v>
      </c>
      <c r="Q5" s="137"/>
      <c r="R5" s="137"/>
      <c r="S5" s="137"/>
      <c r="T5" s="137"/>
      <c r="U5" s="137">
        <f t="shared" si="7"/>
        <v>0</v>
      </c>
      <c r="V5" s="137"/>
      <c r="W5" s="14">
        <f t="shared" si="8"/>
        <v>0</v>
      </c>
      <c r="Y5" s="13" t="s">
        <v>38</v>
      </c>
      <c r="Z5" s="23">
        <f>Z28+Z49+Z70+Z91+Z112+Z133+Z154+Z175+Z196+Z217+Z238</f>
        <v>0</v>
      </c>
      <c r="AA5" s="23">
        <f t="shared" ref="AA5:AC5" si="13">AA28+AA49+AA70+AA91+AA112+AA133+AA154+AA175+AA196+AA217+AA238</f>
        <v>0</v>
      </c>
      <c r="AB5" s="23">
        <f>AB28+AB49+AB70+AB91+AB112+AB133+AB154+AB175+AB196+AB217+AB238</f>
        <v>0</v>
      </c>
      <c r="AC5" s="23">
        <f t="shared" si="13"/>
        <v>0</v>
      </c>
      <c r="AE5">
        <f t="shared" si="10"/>
        <v>0</v>
      </c>
      <c r="AF5">
        <f t="shared" si="11"/>
        <v>0</v>
      </c>
      <c r="AH5">
        <f t="shared" si="12"/>
        <v>0</v>
      </c>
    </row>
    <row r="6" spans="1:34" ht="16" thickBot="1" x14ac:dyDescent="0.25">
      <c r="A6" s="13" t="s">
        <v>38</v>
      </c>
      <c r="B6" s="137">
        <f t="shared" si="1"/>
        <v>0</v>
      </c>
      <c r="C6" s="137"/>
      <c r="D6" s="137">
        <f t="shared" si="2"/>
        <v>0</v>
      </c>
      <c r="E6" s="137"/>
      <c r="F6" s="137">
        <f t="shared" si="3"/>
        <v>0</v>
      </c>
      <c r="G6" s="137"/>
      <c r="H6" s="137">
        <f t="shared" si="4"/>
        <v>0</v>
      </c>
      <c r="I6" s="137"/>
      <c r="J6" s="14">
        <f t="shared" si="5"/>
        <v>0</v>
      </c>
      <c r="K6" s="14">
        <f t="shared" si="5"/>
        <v>0</v>
      </c>
      <c r="L6" s="137">
        <f t="shared" si="5"/>
        <v>0</v>
      </c>
      <c r="M6" s="137"/>
      <c r="N6" s="14">
        <f t="shared" si="6"/>
        <v>0</v>
      </c>
      <c r="O6" s="14">
        <f t="shared" si="6"/>
        <v>0</v>
      </c>
      <c r="P6" s="137">
        <f t="shared" si="6"/>
        <v>0</v>
      </c>
      <c r="Q6" s="137"/>
      <c r="R6" s="137"/>
      <c r="S6" s="137"/>
      <c r="T6" s="137"/>
      <c r="U6" s="137">
        <f t="shared" si="7"/>
        <v>0</v>
      </c>
      <c r="V6" s="137"/>
      <c r="W6" s="14">
        <f t="shared" si="8"/>
        <v>0</v>
      </c>
      <c r="Y6" s="13" t="s">
        <v>27</v>
      </c>
      <c r="Z6" s="23">
        <f t="shared" ref="Z6:AC15" si="14">Z29+Z50+Z71+Z92+Z113+Z134+Z155+Z176+Z197+Z218+Z239</f>
        <v>0</v>
      </c>
      <c r="AA6" s="23">
        <f t="shared" si="14"/>
        <v>0</v>
      </c>
      <c r="AB6" s="23">
        <f t="shared" si="14"/>
        <v>0</v>
      </c>
      <c r="AC6" s="23">
        <f t="shared" si="14"/>
        <v>0</v>
      </c>
      <c r="AE6">
        <f t="shared" si="10"/>
        <v>0</v>
      </c>
      <c r="AF6">
        <f t="shared" si="11"/>
        <v>0</v>
      </c>
      <c r="AH6">
        <f t="shared" si="12"/>
        <v>0</v>
      </c>
    </row>
    <row r="7" spans="1:34" ht="16" thickBot="1" x14ac:dyDescent="0.25">
      <c r="A7" s="13" t="s">
        <v>27</v>
      </c>
      <c r="B7" s="137">
        <f t="shared" si="1"/>
        <v>0</v>
      </c>
      <c r="C7" s="137"/>
      <c r="D7" s="137">
        <f t="shared" si="2"/>
        <v>0</v>
      </c>
      <c r="E7" s="137"/>
      <c r="F7" s="137">
        <f t="shared" si="3"/>
        <v>0</v>
      </c>
      <c r="G7" s="137"/>
      <c r="H7" s="137">
        <f t="shared" si="4"/>
        <v>0</v>
      </c>
      <c r="I7" s="137"/>
      <c r="J7" s="14">
        <f t="shared" si="5"/>
        <v>0</v>
      </c>
      <c r="K7" s="14">
        <f t="shared" si="5"/>
        <v>0</v>
      </c>
      <c r="L7" s="137">
        <f t="shared" si="5"/>
        <v>0</v>
      </c>
      <c r="M7" s="137"/>
      <c r="N7" s="14">
        <f t="shared" si="6"/>
        <v>0</v>
      </c>
      <c r="O7" s="14">
        <f t="shared" si="6"/>
        <v>0</v>
      </c>
      <c r="P7" s="137">
        <f t="shared" si="6"/>
        <v>0</v>
      </c>
      <c r="Q7" s="137"/>
      <c r="R7" s="137"/>
      <c r="S7" s="137"/>
      <c r="T7" s="137"/>
      <c r="U7" s="137">
        <f t="shared" si="7"/>
        <v>0</v>
      </c>
      <c r="V7" s="137"/>
      <c r="W7" s="14">
        <f t="shared" si="8"/>
        <v>0</v>
      </c>
      <c r="Y7" s="13" t="s">
        <v>25</v>
      </c>
      <c r="Z7" s="23">
        <f t="shared" si="14"/>
        <v>0</v>
      </c>
      <c r="AA7" s="23">
        <f t="shared" si="14"/>
        <v>0</v>
      </c>
      <c r="AB7" s="23">
        <f t="shared" si="14"/>
        <v>0</v>
      </c>
      <c r="AC7" s="23">
        <f t="shared" si="14"/>
        <v>0</v>
      </c>
      <c r="AE7">
        <f t="shared" si="10"/>
        <v>0</v>
      </c>
      <c r="AF7">
        <f t="shared" si="11"/>
        <v>0</v>
      </c>
      <c r="AH7">
        <f t="shared" si="12"/>
        <v>0</v>
      </c>
    </row>
    <row r="8" spans="1:34" ht="16" thickBot="1" x14ac:dyDescent="0.25">
      <c r="A8" s="13" t="s">
        <v>25</v>
      </c>
      <c r="B8" s="137">
        <f t="shared" si="1"/>
        <v>0</v>
      </c>
      <c r="C8" s="137"/>
      <c r="D8" s="137">
        <f t="shared" si="2"/>
        <v>0</v>
      </c>
      <c r="E8" s="137"/>
      <c r="F8" s="137">
        <f t="shared" si="3"/>
        <v>0</v>
      </c>
      <c r="G8" s="137"/>
      <c r="H8" s="137">
        <f t="shared" si="4"/>
        <v>0</v>
      </c>
      <c r="I8" s="137"/>
      <c r="J8" s="14">
        <f t="shared" si="5"/>
        <v>0</v>
      </c>
      <c r="K8" s="14">
        <f t="shared" si="5"/>
        <v>0</v>
      </c>
      <c r="L8" s="137">
        <f t="shared" si="5"/>
        <v>0</v>
      </c>
      <c r="M8" s="137"/>
      <c r="N8" s="14">
        <f t="shared" si="6"/>
        <v>0</v>
      </c>
      <c r="O8" s="14">
        <f t="shared" si="6"/>
        <v>0</v>
      </c>
      <c r="P8" s="137">
        <f t="shared" si="6"/>
        <v>0</v>
      </c>
      <c r="Q8" s="137"/>
      <c r="R8" s="137"/>
      <c r="S8" s="137"/>
      <c r="T8" s="137"/>
      <c r="U8" s="137">
        <f t="shared" si="7"/>
        <v>0</v>
      </c>
      <c r="V8" s="137"/>
      <c r="W8" s="14">
        <f t="shared" si="8"/>
        <v>0</v>
      </c>
      <c r="Y8" s="13" t="s">
        <v>39</v>
      </c>
      <c r="Z8" s="23">
        <f t="shared" si="14"/>
        <v>0</v>
      </c>
      <c r="AA8" s="23">
        <f t="shared" si="14"/>
        <v>0</v>
      </c>
      <c r="AB8" s="23">
        <f t="shared" si="14"/>
        <v>0</v>
      </c>
      <c r="AC8" s="23">
        <f t="shared" si="14"/>
        <v>0</v>
      </c>
      <c r="AE8">
        <f t="shared" si="10"/>
        <v>0</v>
      </c>
      <c r="AF8">
        <f t="shared" si="11"/>
        <v>0</v>
      </c>
      <c r="AH8">
        <f t="shared" si="12"/>
        <v>0</v>
      </c>
    </row>
    <row r="9" spans="1:34" ht="16" thickBot="1" x14ac:dyDescent="0.25">
      <c r="A9" s="13" t="s">
        <v>39</v>
      </c>
      <c r="B9" s="137">
        <f t="shared" si="1"/>
        <v>0</v>
      </c>
      <c r="C9" s="137"/>
      <c r="D9" s="137">
        <f t="shared" si="2"/>
        <v>0</v>
      </c>
      <c r="E9" s="137"/>
      <c r="F9" s="137">
        <f t="shared" si="3"/>
        <v>0</v>
      </c>
      <c r="G9" s="137"/>
      <c r="H9" s="137">
        <f t="shared" si="4"/>
        <v>0</v>
      </c>
      <c r="I9" s="137"/>
      <c r="J9" s="14">
        <f t="shared" si="5"/>
        <v>0</v>
      </c>
      <c r="K9" s="14">
        <f t="shared" si="5"/>
        <v>0</v>
      </c>
      <c r="L9" s="137">
        <f t="shared" si="5"/>
        <v>0</v>
      </c>
      <c r="M9" s="137"/>
      <c r="N9" s="14">
        <f t="shared" si="6"/>
        <v>0</v>
      </c>
      <c r="O9" s="14">
        <f t="shared" si="6"/>
        <v>0</v>
      </c>
      <c r="P9" s="137">
        <f t="shared" si="6"/>
        <v>0</v>
      </c>
      <c r="Q9" s="137"/>
      <c r="R9" s="137"/>
      <c r="S9" s="137"/>
      <c r="T9" s="137"/>
      <c r="U9" s="137">
        <f t="shared" si="7"/>
        <v>0</v>
      </c>
      <c r="V9" s="137"/>
      <c r="W9" s="14">
        <f t="shared" si="8"/>
        <v>0</v>
      </c>
      <c r="Y9" s="13" t="s">
        <v>40</v>
      </c>
      <c r="Z9" s="23">
        <f t="shared" si="14"/>
        <v>0</v>
      </c>
      <c r="AA9" s="23">
        <f t="shared" si="14"/>
        <v>0</v>
      </c>
      <c r="AB9" s="23">
        <f t="shared" si="14"/>
        <v>0</v>
      </c>
      <c r="AC9" s="23">
        <f t="shared" si="14"/>
        <v>0</v>
      </c>
      <c r="AE9">
        <f t="shared" si="10"/>
        <v>0</v>
      </c>
      <c r="AF9">
        <f t="shared" si="11"/>
        <v>0</v>
      </c>
      <c r="AH9">
        <f t="shared" si="12"/>
        <v>0</v>
      </c>
    </row>
    <row r="10" spans="1:34" ht="16" thickBot="1" x14ac:dyDescent="0.25">
      <c r="A10" s="13" t="s">
        <v>40</v>
      </c>
      <c r="B10" s="137">
        <f t="shared" si="1"/>
        <v>0</v>
      </c>
      <c r="C10" s="137"/>
      <c r="D10" s="137">
        <f t="shared" si="2"/>
        <v>0</v>
      </c>
      <c r="E10" s="137"/>
      <c r="F10" s="137">
        <f t="shared" si="3"/>
        <v>0</v>
      </c>
      <c r="G10" s="137"/>
      <c r="H10" s="137">
        <f t="shared" si="4"/>
        <v>0</v>
      </c>
      <c r="I10" s="137"/>
      <c r="J10" s="14">
        <f t="shared" si="5"/>
        <v>0</v>
      </c>
      <c r="K10" s="14">
        <f t="shared" si="5"/>
        <v>0</v>
      </c>
      <c r="L10" s="137">
        <f t="shared" si="5"/>
        <v>0</v>
      </c>
      <c r="M10" s="137"/>
      <c r="N10" s="14">
        <f t="shared" si="6"/>
        <v>0</v>
      </c>
      <c r="O10" s="14">
        <f t="shared" si="6"/>
        <v>0</v>
      </c>
      <c r="P10" s="137">
        <f t="shared" si="6"/>
        <v>0</v>
      </c>
      <c r="Q10" s="137"/>
      <c r="R10" s="137"/>
      <c r="S10" s="137"/>
      <c r="T10" s="137"/>
      <c r="U10" s="137">
        <f t="shared" si="7"/>
        <v>0</v>
      </c>
      <c r="V10" s="137"/>
      <c r="W10" s="14">
        <f t="shared" si="8"/>
        <v>0</v>
      </c>
      <c r="Y10" s="13" t="s">
        <v>28</v>
      </c>
      <c r="Z10" s="23">
        <f t="shared" si="14"/>
        <v>0</v>
      </c>
      <c r="AA10" s="23">
        <f t="shared" si="14"/>
        <v>0</v>
      </c>
      <c r="AB10" s="23">
        <f t="shared" si="14"/>
        <v>0</v>
      </c>
      <c r="AC10" s="23">
        <f t="shared" si="14"/>
        <v>0</v>
      </c>
      <c r="AE10">
        <f t="shared" si="10"/>
        <v>0</v>
      </c>
      <c r="AF10">
        <f t="shared" si="11"/>
        <v>0</v>
      </c>
      <c r="AH10">
        <f t="shared" si="12"/>
        <v>0</v>
      </c>
    </row>
    <row r="11" spans="1:34" ht="16" thickBot="1" x14ac:dyDescent="0.25">
      <c r="A11" s="13" t="s">
        <v>28</v>
      </c>
      <c r="B11" s="137">
        <f t="shared" si="1"/>
        <v>0</v>
      </c>
      <c r="C11" s="137"/>
      <c r="D11" s="137">
        <f t="shared" si="2"/>
        <v>0</v>
      </c>
      <c r="E11" s="137"/>
      <c r="F11" s="137">
        <f t="shared" si="3"/>
        <v>0</v>
      </c>
      <c r="G11" s="137"/>
      <c r="H11" s="137">
        <f t="shared" si="4"/>
        <v>0</v>
      </c>
      <c r="I11" s="137"/>
      <c r="J11" s="14">
        <f t="shared" si="5"/>
        <v>0</v>
      </c>
      <c r="K11" s="14">
        <f t="shared" si="5"/>
        <v>0</v>
      </c>
      <c r="L11" s="137">
        <f t="shared" si="5"/>
        <v>0</v>
      </c>
      <c r="M11" s="137"/>
      <c r="N11" s="14">
        <f t="shared" si="6"/>
        <v>0</v>
      </c>
      <c r="O11" s="14">
        <f t="shared" si="6"/>
        <v>0</v>
      </c>
      <c r="P11" s="137">
        <f t="shared" si="6"/>
        <v>0</v>
      </c>
      <c r="Q11" s="137"/>
      <c r="R11" s="137"/>
      <c r="S11" s="137"/>
      <c r="T11" s="137"/>
      <c r="U11" s="137">
        <f t="shared" si="7"/>
        <v>0</v>
      </c>
      <c r="V11" s="137"/>
      <c r="W11" s="14">
        <f t="shared" si="8"/>
        <v>0</v>
      </c>
      <c r="Y11" s="13" t="s">
        <v>36</v>
      </c>
      <c r="Z11" s="23">
        <f t="shared" si="14"/>
        <v>0</v>
      </c>
      <c r="AA11" s="23">
        <f t="shared" si="14"/>
        <v>0</v>
      </c>
      <c r="AB11" s="23">
        <f t="shared" si="14"/>
        <v>0</v>
      </c>
      <c r="AC11" s="23">
        <f t="shared" si="14"/>
        <v>0</v>
      </c>
      <c r="AE11">
        <f t="shared" si="10"/>
        <v>0</v>
      </c>
      <c r="AF11">
        <f t="shared" si="11"/>
        <v>0</v>
      </c>
      <c r="AH11">
        <f t="shared" si="12"/>
        <v>0</v>
      </c>
    </row>
    <row r="12" spans="1:34" ht="16" thickBot="1" x14ac:dyDescent="0.25">
      <c r="A12" s="13" t="s">
        <v>71</v>
      </c>
      <c r="B12" s="137">
        <f t="shared" si="1"/>
        <v>0</v>
      </c>
      <c r="C12" s="137"/>
      <c r="D12" s="137">
        <f t="shared" si="2"/>
        <v>0</v>
      </c>
      <c r="E12" s="137"/>
      <c r="F12" s="137">
        <f t="shared" si="3"/>
        <v>0</v>
      </c>
      <c r="G12" s="137"/>
      <c r="H12" s="137">
        <f t="shared" si="4"/>
        <v>0</v>
      </c>
      <c r="I12" s="137"/>
      <c r="J12" s="14">
        <f t="shared" si="5"/>
        <v>0</v>
      </c>
      <c r="K12" s="14">
        <f t="shared" si="5"/>
        <v>0</v>
      </c>
      <c r="L12" s="137">
        <f t="shared" si="5"/>
        <v>0</v>
      </c>
      <c r="M12" s="137"/>
      <c r="N12" s="14">
        <f t="shared" si="6"/>
        <v>0</v>
      </c>
      <c r="O12" s="14">
        <f t="shared" si="6"/>
        <v>0</v>
      </c>
      <c r="P12" s="137">
        <f t="shared" si="6"/>
        <v>0</v>
      </c>
      <c r="Q12" s="137"/>
      <c r="R12" s="137"/>
      <c r="S12" s="137"/>
      <c r="T12" s="137"/>
      <c r="U12" s="137">
        <f t="shared" si="7"/>
        <v>0</v>
      </c>
      <c r="V12" s="137"/>
      <c r="W12" s="14">
        <f t="shared" si="8"/>
        <v>0</v>
      </c>
      <c r="Y12" s="13" t="s">
        <v>26</v>
      </c>
      <c r="Z12" s="23">
        <f t="shared" si="14"/>
        <v>0</v>
      </c>
      <c r="AA12" s="23">
        <f t="shared" si="14"/>
        <v>0</v>
      </c>
      <c r="AB12" s="23">
        <f t="shared" si="14"/>
        <v>0</v>
      </c>
      <c r="AC12" s="23">
        <f t="shared" si="14"/>
        <v>0</v>
      </c>
      <c r="AE12">
        <f t="shared" si="10"/>
        <v>0</v>
      </c>
      <c r="AF12">
        <f t="shared" si="11"/>
        <v>0</v>
      </c>
      <c r="AH12">
        <f t="shared" si="12"/>
        <v>0</v>
      </c>
    </row>
    <row r="13" spans="1:34" ht="16" thickBot="1" x14ac:dyDescent="0.25">
      <c r="A13" s="13" t="s">
        <v>36</v>
      </c>
      <c r="B13" s="137">
        <f t="shared" si="1"/>
        <v>0</v>
      </c>
      <c r="C13" s="137"/>
      <c r="D13" s="137">
        <f t="shared" si="2"/>
        <v>0</v>
      </c>
      <c r="E13" s="137"/>
      <c r="F13" s="137">
        <f t="shared" si="3"/>
        <v>0</v>
      </c>
      <c r="G13" s="137"/>
      <c r="H13" s="137">
        <f t="shared" si="4"/>
        <v>0</v>
      </c>
      <c r="I13" s="137"/>
      <c r="J13" s="14">
        <f t="shared" si="5"/>
        <v>0</v>
      </c>
      <c r="K13" s="14">
        <f t="shared" si="5"/>
        <v>0</v>
      </c>
      <c r="L13" s="137">
        <f t="shared" si="5"/>
        <v>0</v>
      </c>
      <c r="M13" s="137"/>
      <c r="N13" s="14">
        <f t="shared" si="6"/>
        <v>0</v>
      </c>
      <c r="O13" s="14">
        <f t="shared" si="6"/>
        <v>0</v>
      </c>
      <c r="P13" s="137">
        <f t="shared" si="6"/>
        <v>0</v>
      </c>
      <c r="Q13" s="137"/>
      <c r="R13" s="137"/>
      <c r="S13" s="137"/>
      <c r="T13" s="137"/>
      <c r="U13" s="137">
        <f t="shared" si="7"/>
        <v>0</v>
      </c>
      <c r="V13" s="137"/>
      <c r="W13" s="14">
        <f t="shared" si="8"/>
        <v>0</v>
      </c>
      <c r="Y13" s="13" t="s">
        <v>35</v>
      </c>
      <c r="Z13" s="23">
        <f t="shared" si="14"/>
        <v>0</v>
      </c>
      <c r="AA13" s="23">
        <f t="shared" si="14"/>
        <v>0</v>
      </c>
      <c r="AB13" s="23">
        <f t="shared" si="14"/>
        <v>0</v>
      </c>
      <c r="AC13" s="23">
        <f t="shared" si="14"/>
        <v>0</v>
      </c>
      <c r="AE13">
        <f t="shared" si="10"/>
        <v>0</v>
      </c>
      <c r="AF13">
        <f>AB13+AC13</f>
        <v>0</v>
      </c>
      <c r="AH13">
        <f t="shared" si="12"/>
        <v>0</v>
      </c>
    </row>
    <row r="14" spans="1:34" ht="16" thickBot="1" x14ac:dyDescent="0.25">
      <c r="A14" s="13" t="s">
        <v>26</v>
      </c>
      <c r="B14" s="137">
        <f t="shared" si="1"/>
        <v>0</v>
      </c>
      <c r="C14" s="137"/>
      <c r="D14" s="137">
        <f t="shared" si="2"/>
        <v>0</v>
      </c>
      <c r="E14" s="137"/>
      <c r="F14" s="137">
        <f t="shared" si="3"/>
        <v>0</v>
      </c>
      <c r="G14" s="137"/>
      <c r="H14" s="137">
        <f t="shared" si="4"/>
        <v>0</v>
      </c>
      <c r="I14" s="137"/>
      <c r="J14" s="14">
        <f t="shared" si="5"/>
        <v>0</v>
      </c>
      <c r="K14" s="14">
        <f t="shared" si="5"/>
        <v>0</v>
      </c>
      <c r="L14" s="137">
        <f t="shared" si="5"/>
        <v>0</v>
      </c>
      <c r="M14" s="137"/>
      <c r="N14" s="14">
        <f t="shared" si="6"/>
        <v>0</v>
      </c>
      <c r="O14" s="14">
        <f t="shared" si="6"/>
        <v>0</v>
      </c>
      <c r="P14" s="137">
        <f t="shared" si="6"/>
        <v>0</v>
      </c>
      <c r="Q14" s="137"/>
      <c r="R14" s="137"/>
      <c r="S14" s="137"/>
      <c r="T14" s="137"/>
      <c r="U14" s="137">
        <f t="shared" si="7"/>
        <v>0</v>
      </c>
      <c r="V14" s="137"/>
      <c r="W14" s="14">
        <f t="shared" si="8"/>
        <v>0</v>
      </c>
      <c r="Y14" s="13" t="s">
        <v>37</v>
      </c>
      <c r="Z14" s="23">
        <f t="shared" si="14"/>
        <v>0</v>
      </c>
      <c r="AA14" s="23">
        <f t="shared" si="14"/>
        <v>0</v>
      </c>
      <c r="AB14" s="23">
        <f t="shared" si="14"/>
        <v>0</v>
      </c>
      <c r="AC14" s="23">
        <f t="shared" si="14"/>
        <v>0</v>
      </c>
      <c r="AE14">
        <f t="shared" si="10"/>
        <v>0</v>
      </c>
      <c r="AF14">
        <f t="shared" si="11"/>
        <v>0</v>
      </c>
      <c r="AH14">
        <f t="shared" si="12"/>
        <v>0</v>
      </c>
    </row>
    <row r="15" spans="1:34" x14ac:dyDescent="0.2">
      <c r="A15" s="13" t="s">
        <v>30</v>
      </c>
      <c r="B15" s="137">
        <f t="shared" si="1"/>
        <v>0</v>
      </c>
      <c r="C15" s="137"/>
      <c r="D15" s="137">
        <f t="shared" si="2"/>
        <v>0</v>
      </c>
      <c r="E15" s="137"/>
      <c r="F15" s="137">
        <f t="shared" si="3"/>
        <v>0</v>
      </c>
      <c r="G15" s="137"/>
      <c r="H15" s="137">
        <f t="shared" si="4"/>
        <v>0</v>
      </c>
      <c r="I15" s="137"/>
      <c r="J15" s="14">
        <f t="shared" si="5"/>
        <v>0</v>
      </c>
      <c r="K15" s="14">
        <f t="shared" si="5"/>
        <v>0</v>
      </c>
      <c r="L15" s="137">
        <f t="shared" si="5"/>
        <v>0</v>
      </c>
      <c r="M15" s="137"/>
      <c r="N15" s="14">
        <f t="shared" si="6"/>
        <v>0</v>
      </c>
      <c r="O15" s="14">
        <f t="shared" si="6"/>
        <v>0</v>
      </c>
      <c r="P15" s="137">
        <f t="shared" si="6"/>
        <v>0</v>
      </c>
      <c r="Q15" s="137"/>
      <c r="R15" s="137"/>
      <c r="S15" s="137"/>
      <c r="T15" s="137"/>
      <c r="U15" s="137">
        <f t="shared" si="7"/>
        <v>0</v>
      </c>
      <c r="V15" s="137"/>
      <c r="W15" s="14">
        <f t="shared" si="8"/>
        <v>0</v>
      </c>
      <c r="Y15" s="34" t="s">
        <v>71</v>
      </c>
      <c r="Z15" s="23">
        <f t="shared" si="14"/>
        <v>0</v>
      </c>
      <c r="AA15" s="23">
        <f t="shared" si="14"/>
        <v>0</v>
      </c>
      <c r="AB15" s="23">
        <f t="shared" si="14"/>
        <v>0</v>
      </c>
      <c r="AC15" s="23">
        <f t="shared" si="14"/>
        <v>0</v>
      </c>
      <c r="AE15">
        <f t="shared" si="10"/>
        <v>0</v>
      </c>
      <c r="AF15">
        <f t="shared" si="11"/>
        <v>0</v>
      </c>
      <c r="AH15">
        <f t="shared" si="12"/>
        <v>0</v>
      </c>
    </row>
    <row r="16" spans="1:34" x14ac:dyDescent="0.2">
      <c r="A16" s="13" t="s">
        <v>35</v>
      </c>
      <c r="B16" s="137">
        <f t="shared" si="1"/>
        <v>0</v>
      </c>
      <c r="C16" s="137"/>
      <c r="D16" s="137">
        <f t="shared" si="2"/>
        <v>0</v>
      </c>
      <c r="E16" s="137"/>
      <c r="F16" s="137">
        <f t="shared" si="3"/>
        <v>0</v>
      </c>
      <c r="G16" s="137"/>
      <c r="H16" s="137">
        <f t="shared" si="4"/>
        <v>0</v>
      </c>
      <c r="I16" s="137"/>
      <c r="J16" s="14">
        <f t="shared" si="5"/>
        <v>0</v>
      </c>
      <c r="K16" s="14">
        <f t="shared" si="5"/>
        <v>0</v>
      </c>
      <c r="L16" s="137">
        <f t="shared" si="5"/>
        <v>0</v>
      </c>
      <c r="M16" s="137"/>
      <c r="N16" s="14">
        <f t="shared" si="6"/>
        <v>0</v>
      </c>
      <c r="O16" s="14">
        <f t="shared" si="6"/>
        <v>0</v>
      </c>
      <c r="P16" s="137">
        <f t="shared" si="6"/>
        <v>0</v>
      </c>
      <c r="Q16" s="137"/>
      <c r="R16" s="137"/>
      <c r="S16" s="137"/>
      <c r="T16" s="137"/>
      <c r="U16" s="137">
        <f t="shared" si="7"/>
        <v>0</v>
      </c>
      <c r="V16" s="137"/>
      <c r="W16" s="14">
        <f t="shared" si="8"/>
        <v>0</v>
      </c>
    </row>
    <row r="17" spans="1:30" x14ac:dyDescent="0.2">
      <c r="A17" s="13" t="s">
        <v>41</v>
      </c>
      <c r="B17" s="137">
        <f t="shared" si="1"/>
        <v>0</v>
      </c>
      <c r="C17" s="137"/>
      <c r="D17" s="137">
        <f t="shared" si="2"/>
        <v>0</v>
      </c>
      <c r="E17" s="137"/>
      <c r="F17" s="137">
        <f t="shared" si="3"/>
        <v>0</v>
      </c>
      <c r="G17" s="137"/>
      <c r="H17" s="137">
        <f t="shared" si="4"/>
        <v>0</v>
      </c>
      <c r="I17" s="137"/>
      <c r="J17" s="14">
        <f t="shared" si="5"/>
        <v>0</v>
      </c>
      <c r="K17" s="14">
        <f t="shared" si="5"/>
        <v>0</v>
      </c>
      <c r="L17" s="137">
        <f t="shared" si="5"/>
        <v>0</v>
      </c>
      <c r="M17" s="137"/>
      <c r="N17" s="14">
        <f t="shared" si="6"/>
        <v>0</v>
      </c>
      <c r="O17" s="14">
        <f t="shared" si="6"/>
        <v>0</v>
      </c>
      <c r="P17" s="137">
        <f t="shared" si="6"/>
        <v>0</v>
      </c>
      <c r="Q17" s="137"/>
      <c r="R17" s="137"/>
      <c r="S17" s="137"/>
      <c r="T17" s="137"/>
      <c r="U17" s="137">
        <f t="shared" si="7"/>
        <v>0</v>
      </c>
      <c r="V17" s="137"/>
      <c r="W17" s="14">
        <f t="shared" si="8"/>
        <v>0</v>
      </c>
    </row>
    <row r="18" spans="1:30" x14ac:dyDescent="0.2">
      <c r="A18" s="13" t="s">
        <v>37</v>
      </c>
      <c r="B18" s="137">
        <f t="shared" si="1"/>
        <v>0</v>
      </c>
      <c r="C18" s="137"/>
      <c r="D18" s="137">
        <f t="shared" si="2"/>
        <v>0</v>
      </c>
      <c r="E18" s="137"/>
      <c r="F18" s="137">
        <f t="shared" si="3"/>
        <v>0</v>
      </c>
      <c r="G18" s="137"/>
      <c r="H18" s="137">
        <f t="shared" si="4"/>
        <v>0</v>
      </c>
      <c r="I18" s="137"/>
      <c r="J18" s="14">
        <f t="shared" si="5"/>
        <v>0</v>
      </c>
      <c r="K18" s="14">
        <f t="shared" si="5"/>
        <v>0</v>
      </c>
      <c r="L18" s="137">
        <f t="shared" si="5"/>
        <v>0</v>
      </c>
      <c r="M18" s="137"/>
      <c r="N18" s="14">
        <f t="shared" si="6"/>
        <v>0</v>
      </c>
      <c r="O18" s="14">
        <f t="shared" si="6"/>
        <v>0</v>
      </c>
      <c r="P18" s="137">
        <f t="shared" si="6"/>
        <v>0</v>
      </c>
      <c r="Q18" s="137"/>
      <c r="R18" s="137"/>
      <c r="S18" s="137"/>
      <c r="T18" s="137"/>
      <c r="U18" s="137">
        <f t="shared" si="7"/>
        <v>0</v>
      </c>
      <c r="V18" s="137"/>
      <c r="W18" s="14">
        <f t="shared" si="8"/>
        <v>0</v>
      </c>
    </row>
    <row r="22" spans="1:30" ht="14.25" customHeight="1" x14ac:dyDescent="0.2">
      <c r="A22" s="229" t="s">
        <v>80</v>
      </c>
      <c r="B22" s="229"/>
      <c r="C22" s="229"/>
      <c r="D22" s="229"/>
      <c r="E22" s="229"/>
      <c r="F22" s="229"/>
      <c r="G22" s="229"/>
      <c r="H22" s="229"/>
      <c r="I22" s="229"/>
      <c r="J22" s="229"/>
      <c r="K22" s="229"/>
      <c r="L22" s="229"/>
      <c r="M22" s="229"/>
      <c r="N22" s="229"/>
      <c r="O22" s="229"/>
      <c r="P22" s="229"/>
      <c r="Q22" s="229"/>
      <c r="R22" s="229"/>
      <c r="S22" s="229"/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</row>
    <row r="23" spans="1:30" ht="14.75" customHeight="1" thickBot="1" x14ac:dyDescent="0.25">
      <c r="A23" s="229"/>
      <c r="B23" s="229"/>
      <c r="C23" s="229"/>
      <c r="D23" s="229"/>
      <c r="E23" s="229"/>
      <c r="F23" s="229"/>
      <c r="G23" s="229"/>
      <c r="H23" s="229"/>
      <c r="I23" s="229"/>
      <c r="J23" s="229"/>
      <c r="K23" s="229"/>
      <c r="L23" s="229"/>
      <c r="M23" s="229"/>
      <c r="N23" s="229"/>
      <c r="O23" s="229"/>
      <c r="P23" s="229"/>
      <c r="Q23" s="229"/>
      <c r="R23" s="229"/>
      <c r="S23" s="229"/>
      <c r="T23" s="229"/>
      <c r="U23" s="229"/>
      <c r="V23" s="229"/>
      <c r="W23" s="229"/>
      <c r="X23" s="229"/>
      <c r="Y23" s="229"/>
      <c r="Z23" s="229"/>
      <c r="AA23" s="229"/>
      <c r="AB23" s="229"/>
      <c r="AC23" s="229"/>
      <c r="AD23" s="229"/>
    </row>
    <row r="24" spans="1:30" ht="14.75" customHeight="1" thickBot="1" x14ac:dyDescent="0.25">
      <c r="B24" s="142" t="s">
        <v>44</v>
      </c>
      <c r="C24" s="143"/>
      <c r="D24" s="142" t="s">
        <v>2</v>
      </c>
      <c r="E24" s="143"/>
      <c r="F24" s="142" t="s">
        <v>3</v>
      </c>
      <c r="G24" s="143"/>
      <c r="H24" s="142" t="s">
        <v>4</v>
      </c>
      <c r="I24" s="143"/>
      <c r="J24" s="150" t="s">
        <v>5</v>
      </c>
      <c r="K24" s="150" t="s">
        <v>6</v>
      </c>
      <c r="L24" s="158" t="s">
        <v>7</v>
      </c>
      <c r="M24" s="159"/>
      <c r="N24" s="150" t="s">
        <v>8</v>
      </c>
      <c r="O24" s="150" t="s">
        <v>9</v>
      </c>
      <c r="P24" s="142" t="s">
        <v>45</v>
      </c>
      <c r="Q24" s="156"/>
      <c r="R24" s="156"/>
      <c r="S24" s="156"/>
      <c r="T24" s="143"/>
      <c r="U24" s="138" t="s">
        <v>13</v>
      </c>
      <c r="V24" s="139"/>
      <c r="W24" s="15" t="s">
        <v>14</v>
      </c>
      <c r="Z24" s="130" t="s">
        <v>58</v>
      </c>
      <c r="AA24" s="131"/>
      <c r="AB24" s="131"/>
      <c r="AC24" s="132"/>
    </row>
    <row r="25" spans="1:30" ht="16" thickBot="1" x14ac:dyDescent="0.25">
      <c r="B25" s="230"/>
      <c r="C25" s="231"/>
      <c r="D25" s="230"/>
      <c r="E25" s="231"/>
      <c r="F25" s="230"/>
      <c r="G25" s="231"/>
      <c r="H25" s="230"/>
      <c r="I25" s="231"/>
      <c r="J25" s="232"/>
      <c r="K25" s="232"/>
      <c r="L25" s="233"/>
      <c r="M25" s="234"/>
      <c r="N25" s="232"/>
      <c r="O25" s="232"/>
      <c r="P25" s="230"/>
      <c r="Q25" s="235"/>
      <c r="R25" s="235"/>
      <c r="S25" s="235"/>
      <c r="T25" s="231"/>
      <c r="U25" s="236"/>
      <c r="V25" s="237"/>
      <c r="W25" s="18" t="s">
        <v>17</v>
      </c>
      <c r="Z25" s="238" t="s">
        <v>59</v>
      </c>
      <c r="AA25" s="239"/>
      <c r="AB25" s="240" t="s">
        <v>60</v>
      </c>
      <c r="AC25" s="136"/>
    </row>
    <row r="26" spans="1:30" ht="16" thickBot="1" x14ac:dyDescent="0.25">
      <c r="A26" s="13" t="s">
        <v>34</v>
      </c>
      <c r="B26" s="181"/>
      <c r="C26" s="182"/>
      <c r="D26" s="181"/>
      <c r="E26" s="182"/>
      <c r="F26" s="181"/>
      <c r="G26" s="182"/>
      <c r="H26" s="181"/>
      <c r="I26" s="182"/>
      <c r="J26" s="14"/>
      <c r="K26" s="14"/>
      <c r="L26" s="181"/>
      <c r="M26" s="182"/>
      <c r="N26" s="14"/>
      <c r="O26" s="14"/>
      <c r="P26" s="181"/>
      <c r="Q26" s="228"/>
      <c r="R26" s="228"/>
      <c r="S26" s="228"/>
      <c r="T26" s="182"/>
      <c r="U26" s="181"/>
      <c r="V26" s="182"/>
      <c r="W26" s="14"/>
      <c r="Y26" s="31" t="s">
        <v>32</v>
      </c>
      <c r="Z26" s="23"/>
      <c r="AA26" s="24"/>
      <c r="AB26" s="32"/>
      <c r="AC26" s="33"/>
    </row>
    <row r="27" spans="1:30" ht="16" thickBot="1" x14ac:dyDescent="0.25">
      <c r="A27" s="13" t="s">
        <v>32</v>
      </c>
      <c r="B27" s="181"/>
      <c r="C27" s="182"/>
      <c r="D27" s="181"/>
      <c r="E27" s="182"/>
      <c r="F27" s="181"/>
      <c r="G27" s="182"/>
      <c r="H27" s="181"/>
      <c r="I27" s="182"/>
      <c r="J27" s="14"/>
      <c r="K27" s="14"/>
      <c r="L27" s="181"/>
      <c r="M27" s="182"/>
      <c r="N27" s="14"/>
      <c r="O27" s="14"/>
      <c r="P27" s="181"/>
      <c r="Q27" s="228"/>
      <c r="R27" s="228"/>
      <c r="S27" s="228"/>
      <c r="T27" s="182"/>
      <c r="U27" s="181"/>
      <c r="V27" s="182"/>
      <c r="W27" s="14"/>
      <c r="Y27" s="13" t="s">
        <v>34</v>
      </c>
      <c r="Z27" s="23"/>
      <c r="AA27" s="24"/>
      <c r="AB27" s="241"/>
      <c r="AC27" s="242"/>
    </row>
    <row r="28" spans="1:30" ht="16" thickBot="1" x14ac:dyDescent="0.25">
      <c r="A28" s="13" t="s">
        <v>33</v>
      </c>
      <c r="B28" s="181"/>
      <c r="C28" s="182"/>
      <c r="D28" s="181"/>
      <c r="E28" s="182"/>
      <c r="F28" s="181"/>
      <c r="G28" s="182"/>
      <c r="H28" s="181"/>
      <c r="I28" s="182"/>
      <c r="J28" s="14"/>
      <c r="K28" s="14"/>
      <c r="L28" s="181"/>
      <c r="M28" s="182"/>
      <c r="N28" s="14"/>
      <c r="O28" s="14"/>
      <c r="P28" s="181"/>
      <c r="Q28" s="228"/>
      <c r="R28" s="228"/>
      <c r="S28" s="228"/>
      <c r="T28" s="182"/>
      <c r="U28" s="181"/>
      <c r="V28" s="182"/>
      <c r="W28" s="14"/>
      <c r="Y28" s="13" t="s">
        <v>38</v>
      </c>
      <c r="Z28" s="23"/>
      <c r="AA28" s="24"/>
      <c r="AB28" s="25"/>
      <c r="AC28" s="26"/>
    </row>
    <row r="29" spans="1:30" ht="16" thickBot="1" x14ac:dyDescent="0.25">
      <c r="A29" s="13" t="s">
        <v>38</v>
      </c>
      <c r="B29" s="181"/>
      <c r="C29" s="182"/>
      <c r="D29" s="181"/>
      <c r="E29" s="182"/>
      <c r="F29" s="181"/>
      <c r="G29" s="182"/>
      <c r="H29" s="181"/>
      <c r="I29" s="182"/>
      <c r="J29" s="14"/>
      <c r="K29" s="14"/>
      <c r="L29" s="181"/>
      <c r="M29" s="182"/>
      <c r="N29" s="14"/>
      <c r="O29" s="14"/>
      <c r="P29" s="181"/>
      <c r="Q29" s="228"/>
      <c r="R29" s="228"/>
      <c r="S29" s="228"/>
      <c r="T29" s="182"/>
      <c r="U29" s="181"/>
      <c r="V29" s="182"/>
      <c r="W29" s="14"/>
      <c r="Y29" s="13" t="s">
        <v>27</v>
      </c>
      <c r="Z29" s="23"/>
      <c r="AA29" s="24"/>
      <c r="AB29" s="25"/>
      <c r="AC29" s="26"/>
    </row>
    <row r="30" spans="1:30" ht="16" thickBot="1" x14ac:dyDescent="0.25">
      <c r="A30" s="13" t="s">
        <v>27</v>
      </c>
      <c r="B30" s="181"/>
      <c r="C30" s="182"/>
      <c r="D30" s="181"/>
      <c r="E30" s="182"/>
      <c r="F30" s="181"/>
      <c r="G30" s="182"/>
      <c r="H30" s="181"/>
      <c r="I30" s="182"/>
      <c r="J30" s="14"/>
      <c r="K30" s="14"/>
      <c r="L30" s="181"/>
      <c r="M30" s="182"/>
      <c r="N30" s="14"/>
      <c r="O30" s="14"/>
      <c r="P30" s="181"/>
      <c r="Q30" s="228"/>
      <c r="R30" s="228"/>
      <c r="S30" s="228"/>
      <c r="T30" s="182"/>
      <c r="U30" s="181"/>
      <c r="V30" s="182"/>
      <c r="W30" s="14"/>
      <c r="Y30" s="13" t="s">
        <v>25</v>
      </c>
      <c r="Z30" s="23"/>
      <c r="AA30" s="24"/>
      <c r="AB30" s="25"/>
      <c r="AC30" s="26"/>
    </row>
    <row r="31" spans="1:30" ht="16" thickBot="1" x14ac:dyDescent="0.25">
      <c r="A31" s="13" t="s">
        <v>25</v>
      </c>
      <c r="B31" s="181"/>
      <c r="C31" s="182"/>
      <c r="D31" s="181"/>
      <c r="E31" s="182"/>
      <c r="F31" s="181"/>
      <c r="G31" s="182"/>
      <c r="H31" s="181"/>
      <c r="I31" s="182"/>
      <c r="J31" s="14"/>
      <c r="K31" s="14"/>
      <c r="L31" s="181"/>
      <c r="M31" s="182"/>
      <c r="N31" s="14"/>
      <c r="O31" s="14"/>
      <c r="P31" s="181"/>
      <c r="Q31" s="228"/>
      <c r="R31" s="228"/>
      <c r="S31" s="228"/>
      <c r="T31" s="182"/>
      <c r="U31" s="181"/>
      <c r="V31" s="182"/>
      <c r="W31" s="14"/>
      <c r="Y31" s="13" t="s">
        <v>39</v>
      </c>
      <c r="Z31" s="23"/>
      <c r="AA31" s="24"/>
      <c r="AB31" s="25"/>
      <c r="AC31" s="26"/>
    </row>
    <row r="32" spans="1:30" ht="16" thickBot="1" x14ac:dyDescent="0.25">
      <c r="A32" s="13" t="s">
        <v>39</v>
      </c>
      <c r="B32" s="181"/>
      <c r="C32" s="182"/>
      <c r="D32" s="181"/>
      <c r="E32" s="182"/>
      <c r="F32" s="181"/>
      <c r="G32" s="182"/>
      <c r="H32" s="181"/>
      <c r="I32" s="182"/>
      <c r="J32" s="14"/>
      <c r="K32" s="14"/>
      <c r="L32" s="181"/>
      <c r="M32" s="182"/>
      <c r="N32" s="14"/>
      <c r="O32" s="14"/>
      <c r="P32" s="181"/>
      <c r="Q32" s="228"/>
      <c r="R32" s="228"/>
      <c r="S32" s="228"/>
      <c r="T32" s="182"/>
      <c r="U32" s="181"/>
      <c r="V32" s="182"/>
      <c r="W32" s="14"/>
      <c r="Y32" s="13" t="s">
        <v>40</v>
      </c>
      <c r="Z32" s="23"/>
      <c r="AA32" s="24"/>
      <c r="AB32" s="25"/>
      <c r="AC32" s="26"/>
    </row>
    <row r="33" spans="1:30" ht="16" thickBot="1" x14ac:dyDescent="0.25">
      <c r="A33" s="13" t="s">
        <v>40</v>
      </c>
      <c r="B33" s="181"/>
      <c r="C33" s="182"/>
      <c r="D33" s="181"/>
      <c r="E33" s="182"/>
      <c r="F33" s="181"/>
      <c r="G33" s="182"/>
      <c r="H33" s="181"/>
      <c r="I33" s="182"/>
      <c r="J33" s="14"/>
      <c r="K33" s="14"/>
      <c r="L33" s="181"/>
      <c r="M33" s="182"/>
      <c r="N33" s="14"/>
      <c r="O33" s="14"/>
      <c r="P33" s="181"/>
      <c r="Q33" s="228"/>
      <c r="R33" s="228"/>
      <c r="S33" s="228"/>
      <c r="T33" s="182"/>
      <c r="U33" s="181"/>
      <c r="V33" s="182"/>
      <c r="W33" s="14"/>
      <c r="Y33" s="13" t="s">
        <v>28</v>
      </c>
      <c r="Z33" s="23"/>
      <c r="AA33" s="24"/>
      <c r="AB33" s="25"/>
      <c r="AC33" s="26"/>
    </row>
    <row r="34" spans="1:30" ht="16" thickBot="1" x14ac:dyDescent="0.25">
      <c r="A34" s="13" t="s">
        <v>28</v>
      </c>
      <c r="B34" s="181"/>
      <c r="C34" s="182"/>
      <c r="D34" s="181"/>
      <c r="E34" s="182"/>
      <c r="F34" s="181"/>
      <c r="G34" s="182"/>
      <c r="H34" s="181"/>
      <c r="I34" s="182"/>
      <c r="J34" s="14"/>
      <c r="K34" s="14"/>
      <c r="L34" s="181"/>
      <c r="M34" s="182"/>
      <c r="N34" s="14"/>
      <c r="O34" s="14"/>
      <c r="P34" s="181"/>
      <c r="Q34" s="228"/>
      <c r="R34" s="228"/>
      <c r="S34" s="228"/>
      <c r="T34" s="182"/>
      <c r="U34" s="181"/>
      <c r="V34" s="182"/>
      <c r="W34" s="14"/>
      <c r="Y34" s="13" t="s">
        <v>36</v>
      </c>
      <c r="Z34" s="23"/>
      <c r="AA34" s="24"/>
      <c r="AB34" s="25"/>
      <c r="AC34" s="26"/>
    </row>
    <row r="35" spans="1:30" ht="16" thickBot="1" x14ac:dyDescent="0.25">
      <c r="A35" s="13" t="s">
        <v>31</v>
      </c>
      <c r="B35" s="181"/>
      <c r="C35" s="182"/>
      <c r="D35" s="181"/>
      <c r="E35" s="182"/>
      <c r="F35" s="181"/>
      <c r="G35" s="182"/>
      <c r="H35" s="181"/>
      <c r="I35" s="182"/>
      <c r="J35" s="14"/>
      <c r="K35" s="14"/>
      <c r="L35" s="181"/>
      <c r="M35" s="182"/>
      <c r="N35" s="14"/>
      <c r="O35" s="14"/>
      <c r="P35" s="181"/>
      <c r="Q35" s="228"/>
      <c r="R35" s="228"/>
      <c r="S35" s="228"/>
      <c r="T35" s="182"/>
      <c r="U35" s="181"/>
      <c r="V35" s="182"/>
      <c r="W35" s="14"/>
      <c r="Y35" s="13" t="s">
        <v>26</v>
      </c>
      <c r="Z35" s="23"/>
      <c r="AA35" s="24"/>
      <c r="AB35" s="25"/>
      <c r="AC35" s="26"/>
    </row>
    <row r="36" spans="1:30" ht="16" thickBot="1" x14ac:dyDescent="0.25">
      <c r="A36" s="13" t="s">
        <v>36</v>
      </c>
      <c r="B36" s="181"/>
      <c r="C36" s="182"/>
      <c r="D36" s="181"/>
      <c r="E36" s="182"/>
      <c r="F36" s="181"/>
      <c r="G36" s="182"/>
      <c r="H36" s="181"/>
      <c r="I36" s="182"/>
      <c r="J36" s="14"/>
      <c r="K36" s="14"/>
      <c r="L36" s="181"/>
      <c r="M36" s="182"/>
      <c r="N36" s="14"/>
      <c r="O36" s="14"/>
      <c r="P36" s="181"/>
      <c r="Q36" s="228"/>
      <c r="R36" s="228"/>
      <c r="S36" s="228"/>
      <c r="T36" s="182"/>
      <c r="U36" s="181"/>
      <c r="V36" s="182"/>
      <c r="W36" s="14"/>
      <c r="Y36" s="13" t="s">
        <v>35</v>
      </c>
      <c r="Z36" s="23"/>
      <c r="AA36" s="24"/>
      <c r="AB36" s="25"/>
      <c r="AC36" s="26"/>
    </row>
    <row r="37" spans="1:30" ht="16" thickBot="1" x14ac:dyDescent="0.25">
      <c r="A37" s="13" t="s">
        <v>26</v>
      </c>
      <c r="B37" s="181"/>
      <c r="C37" s="182"/>
      <c r="D37" s="181"/>
      <c r="E37" s="182"/>
      <c r="F37" s="181"/>
      <c r="G37" s="182"/>
      <c r="H37" s="181"/>
      <c r="I37" s="182"/>
      <c r="J37" s="14"/>
      <c r="K37" s="14"/>
      <c r="L37" s="181"/>
      <c r="M37" s="182"/>
      <c r="N37" s="14"/>
      <c r="O37" s="14"/>
      <c r="P37" s="181"/>
      <c r="Q37" s="228"/>
      <c r="R37" s="228"/>
      <c r="S37" s="228"/>
      <c r="T37" s="182"/>
      <c r="U37" s="181"/>
      <c r="V37" s="182"/>
      <c r="W37" s="14"/>
      <c r="Y37" s="13" t="s">
        <v>37</v>
      </c>
      <c r="Z37" s="27"/>
      <c r="AA37" s="28"/>
      <c r="AB37" s="29"/>
      <c r="AC37" s="30"/>
    </row>
    <row r="38" spans="1:30" x14ac:dyDescent="0.2">
      <c r="A38" s="13" t="s">
        <v>30</v>
      </c>
      <c r="B38" s="181"/>
      <c r="C38" s="182"/>
      <c r="D38" s="181"/>
      <c r="E38" s="182"/>
      <c r="F38" s="181"/>
      <c r="G38" s="182"/>
      <c r="H38" s="181"/>
      <c r="I38" s="182"/>
      <c r="J38" s="14"/>
      <c r="K38" s="14"/>
      <c r="L38" s="181"/>
      <c r="M38" s="182"/>
      <c r="N38" s="14"/>
      <c r="O38" s="14"/>
      <c r="P38" s="181"/>
      <c r="Q38" s="228"/>
      <c r="R38" s="228"/>
      <c r="S38" s="228"/>
      <c r="T38" s="182"/>
      <c r="U38" s="181"/>
      <c r="V38" s="182"/>
      <c r="W38" s="14"/>
    </row>
    <row r="39" spans="1:30" x14ac:dyDescent="0.2">
      <c r="A39" s="13" t="s">
        <v>35</v>
      </c>
      <c r="B39" s="181"/>
      <c r="C39" s="182"/>
      <c r="D39" s="181"/>
      <c r="E39" s="182"/>
      <c r="F39" s="181"/>
      <c r="G39" s="182"/>
      <c r="H39" s="181"/>
      <c r="I39" s="182"/>
      <c r="J39" s="14"/>
      <c r="K39" s="14"/>
      <c r="L39" s="181"/>
      <c r="M39" s="182"/>
      <c r="N39" s="14"/>
      <c r="O39" s="14"/>
      <c r="P39" s="181"/>
      <c r="Q39" s="228"/>
      <c r="R39" s="228"/>
      <c r="S39" s="228"/>
      <c r="T39" s="182"/>
      <c r="U39" s="181"/>
      <c r="V39" s="182"/>
      <c r="W39" s="14"/>
    </row>
    <row r="40" spans="1:30" x14ac:dyDescent="0.2">
      <c r="A40" s="13" t="s">
        <v>41</v>
      </c>
      <c r="B40" s="181"/>
      <c r="C40" s="182"/>
      <c r="D40" s="181"/>
      <c r="E40" s="182"/>
      <c r="F40" s="181"/>
      <c r="G40" s="182"/>
      <c r="H40" s="181"/>
      <c r="I40" s="182"/>
      <c r="J40" s="14"/>
      <c r="K40" s="14"/>
      <c r="L40" s="181"/>
      <c r="M40" s="182"/>
      <c r="N40" s="14"/>
      <c r="O40" s="14"/>
      <c r="P40" s="181"/>
      <c r="Q40" s="228"/>
      <c r="R40" s="228"/>
      <c r="S40" s="228"/>
      <c r="T40" s="182"/>
      <c r="U40" s="181"/>
      <c r="V40" s="182"/>
      <c r="W40" s="14"/>
    </row>
    <row r="41" spans="1:30" x14ac:dyDescent="0.2">
      <c r="A41" s="13" t="s">
        <v>37</v>
      </c>
      <c r="B41" s="181"/>
      <c r="C41" s="182"/>
      <c r="D41" s="181"/>
      <c r="E41" s="182"/>
      <c r="F41" s="181"/>
      <c r="G41" s="182"/>
      <c r="H41" s="181"/>
      <c r="I41" s="182"/>
      <c r="J41" s="14"/>
      <c r="K41" s="14"/>
      <c r="L41" s="181"/>
      <c r="M41" s="182"/>
      <c r="N41" s="14"/>
      <c r="O41" s="14"/>
      <c r="P41" s="181"/>
      <c r="Q41" s="228"/>
      <c r="R41" s="228"/>
      <c r="S41" s="228"/>
      <c r="T41" s="182"/>
      <c r="U41" s="181"/>
      <c r="V41" s="182"/>
      <c r="W41" s="14"/>
    </row>
    <row r="43" spans="1:30" ht="14.25" customHeight="1" x14ac:dyDescent="0.2">
      <c r="A43" s="229" t="s">
        <v>61</v>
      </c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</row>
    <row r="44" spans="1:30" ht="14.75" customHeight="1" thickBot="1" x14ac:dyDescent="0.25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</row>
    <row r="45" spans="1:30" ht="14.75" customHeight="1" thickBot="1" x14ac:dyDescent="0.25">
      <c r="B45" s="142" t="s">
        <v>44</v>
      </c>
      <c r="C45" s="143"/>
      <c r="D45" s="142" t="s">
        <v>2</v>
      </c>
      <c r="E45" s="143"/>
      <c r="F45" s="142" t="s">
        <v>3</v>
      </c>
      <c r="G45" s="143"/>
      <c r="H45" s="142" t="s">
        <v>4</v>
      </c>
      <c r="I45" s="143"/>
      <c r="J45" s="150" t="s">
        <v>5</v>
      </c>
      <c r="K45" s="150" t="s">
        <v>6</v>
      </c>
      <c r="L45" s="158" t="s">
        <v>7</v>
      </c>
      <c r="M45" s="159"/>
      <c r="N45" s="150" t="s">
        <v>8</v>
      </c>
      <c r="O45" s="150" t="s">
        <v>9</v>
      </c>
      <c r="P45" s="142" t="s">
        <v>45</v>
      </c>
      <c r="Q45" s="156"/>
      <c r="R45" s="156"/>
      <c r="S45" s="156"/>
      <c r="T45" s="143"/>
      <c r="U45" s="138" t="s">
        <v>13</v>
      </c>
      <c r="V45" s="139"/>
      <c r="W45" s="15" t="s">
        <v>14</v>
      </c>
      <c r="Z45" s="130" t="s">
        <v>58</v>
      </c>
      <c r="AA45" s="131"/>
      <c r="AB45" s="131"/>
      <c r="AC45" s="132"/>
    </row>
    <row r="46" spans="1:30" ht="16" thickBot="1" x14ac:dyDescent="0.25">
      <c r="B46" s="230"/>
      <c r="C46" s="231"/>
      <c r="D46" s="230"/>
      <c r="E46" s="231"/>
      <c r="F46" s="230"/>
      <c r="G46" s="231"/>
      <c r="H46" s="230"/>
      <c r="I46" s="231"/>
      <c r="J46" s="232"/>
      <c r="K46" s="232"/>
      <c r="L46" s="233"/>
      <c r="M46" s="234"/>
      <c r="N46" s="232"/>
      <c r="O46" s="232"/>
      <c r="P46" s="230"/>
      <c r="Q46" s="235"/>
      <c r="R46" s="235"/>
      <c r="S46" s="235"/>
      <c r="T46" s="231"/>
      <c r="U46" s="236"/>
      <c r="V46" s="237"/>
      <c r="W46" s="18" t="s">
        <v>17</v>
      </c>
      <c r="Z46" s="238" t="s">
        <v>59</v>
      </c>
      <c r="AA46" s="239"/>
      <c r="AB46" s="240" t="s">
        <v>60</v>
      </c>
      <c r="AC46" s="136"/>
    </row>
    <row r="47" spans="1:30" ht="16" thickBot="1" x14ac:dyDescent="0.25">
      <c r="A47" s="13" t="s">
        <v>34</v>
      </c>
      <c r="B47" s="181"/>
      <c r="C47" s="182"/>
      <c r="D47" s="181"/>
      <c r="E47" s="182"/>
      <c r="F47" s="181"/>
      <c r="G47" s="182"/>
      <c r="H47" s="181"/>
      <c r="I47" s="182"/>
      <c r="J47" s="14"/>
      <c r="K47" s="14"/>
      <c r="L47" s="181"/>
      <c r="M47" s="182"/>
      <c r="N47" s="14"/>
      <c r="O47" s="14"/>
      <c r="P47" s="181"/>
      <c r="Q47" s="228"/>
      <c r="R47" s="228"/>
      <c r="S47" s="228"/>
      <c r="T47" s="182"/>
      <c r="U47" s="181"/>
      <c r="V47" s="182"/>
      <c r="W47" s="14"/>
      <c r="Y47" s="31" t="s">
        <v>32</v>
      </c>
      <c r="Z47" s="23"/>
      <c r="AA47" s="24"/>
      <c r="AB47" s="32"/>
      <c r="AC47" s="33"/>
    </row>
    <row r="48" spans="1:30" ht="16" thickBot="1" x14ac:dyDescent="0.25">
      <c r="A48" s="13" t="s">
        <v>32</v>
      </c>
      <c r="B48" s="181"/>
      <c r="C48" s="182"/>
      <c r="D48" s="181"/>
      <c r="E48" s="182"/>
      <c r="F48" s="181"/>
      <c r="G48" s="182"/>
      <c r="H48" s="181"/>
      <c r="I48" s="182"/>
      <c r="J48" s="14"/>
      <c r="K48" s="14"/>
      <c r="L48" s="181"/>
      <c r="M48" s="182"/>
      <c r="N48" s="14"/>
      <c r="O48" s="14"/>
      <c r="P48" s="181"/>
      <c r="Q48" s="228"/>
      <c r="R48" s="228"/>
      <c r="S48" s="228"/>
      <c r="T48" s="182"/>
      <c r="U48" s="181"/>
      <c r="V48" s="182"/>
      <c r="W48" s="14"/>
      <c r="Y48" s="13" t="s">
        <v>34</v>
      </c>
      <c r="Z48" s="23"/>
      <c r="AA48" s="24"/>
      <c r="AB48" s="241"/>
      <c r="AC48" s="242"/>
    </row>
    <row r="49" spans="1:30" ht="16" thickBot="1" x14ac:dyDescent="0.25">
      <c r="A49" s="13" t="s">
        <v>33</v>
      </c>
      <c r="B49" s="181"/>
      <c r="C49" s="182"/>
      <c r="D49" s="181"/>
      <c r="E49" s="182"/>
      <c r="F49" s="181"/>
      <c r="G49" s="182"/>
      <c r="H49" s="181"/>
      <c r="I49" s="182"/>
      <c r="J49" s="14"/>
      <c r="K49" s="14"/>
      <c r="L49" s="181"/>
      <c r="M49" s="182"/>
      <c r="N49" s="14"/>
      <c r="O49" s="14"/>
      <c r="P49" s="181"/>
      <c r="Q49" s="228"/>
      <c r="R49" s="228"/>
      <c r="S49" s="228"/>
      <c r="T49" s="182"/>
      <c r="U49" s="181"/>
      <c r="V49" s="182"/>
      <c r="W49" s="14"/>
      <c r="Y49" s="13" t="s">
        <v>38</v>
      </c>
      <c r="Z49" s="23"/>
      <c r="AA49" s="24"/>
      <c r="AB49" s="25"/>
      <c r="AC49" s="26"/>
    </row>
    <row r="50" spans="1:30" ht="16" thickBot="1" x14ac:dyDescent="0.25">
      <c r="A50" s="13" t="s">
        <v>38</v>
      </c>
      <c r="B50" s="181"/>
      <c r="C50" s="182"/>
      <c r="D50" s="181"/>
      <c r="E50" s="182"/>
      <c r="F50" s="181"/>
      <c r="G50" s="182"/>
      <c r="H50" s="181"/>
      <c r="I50" s="182"/>
      <c r="J50" s="14"/>
      <c r="K50" s="14"/>
      <c r="L50" s="181"/>
      <c r="M50" s="182"/>
      <c r="N50" s="14"/>
      <c r="O50" s="14"/>
      <c r="P50" s="181"/>
      <c r="Q50" s="228"/>
      <c r="R50" s="228"/>
      <c r="S50" s="228"/>
      <c r="T50" s="182"/>
      <c r="U50" s="181"/>
      <c r="V50" s="182"/>
      <c r="W50" s="14"/>
      <c r="Y50" s="13" t="s">
        <v>27</v>
      </c>
      <c r="Z50" s="23"/>
      <c r="AA50" s="24"/>
      <c r="AB50" s="25"/>
      <c r="AC50" s="26"/>
    </row>
    <row r="51" spans="1:30" ht="16" thickBot="1" x14ac:dyDescent="0.25">
      <c r="A51" s="13" t="s">
        <v>27</v>
      </c>
      <c r="B51" s="181"/>
      <c r="C51" s="182"/>
      <c r="D51" s="181"/>
      <c r="E51" s="182"/>
      <c r="F51" s="181"/>
      <c r="G51" s="182"/>
      <c r="H51" s="181"/>
      <c r="I51" s="182"/>
      <c r="J51" s="14"/>
      <c r="K51" s="14"/>
      <c r="L51" s="181"/>
      <c r="M51" s="182"/>
      <c r="N51" s="14"/>
      <c r="O51" s="14"/>
      <c r="P51" s="181"/>
      <c r="Q51" s="228"/>
      <c r="R51" s="228"/>
      <c r="S51" s="228"/>
      <c r="T51" s="182"/>
      <c r="U51" s="181"/>
      <c r="V51" s="182"/>
      <c r="W51" s="14"/>
      <c r="Y51" s="13" t="s">
        <v>25</v>
      </c>
      <c r="Z51" s="23"/>
      <c r="AA51" s="24"/>
      <c r="AB51" s="25"/>
      <c r="AC51" s="26"/>
    </row>
    <row r="52" spans="1:30" ht="16" thickBot="1" x14ac:dyDescent="0.25">
      <c r="A52" s="13" t="s">
        <v>25</v>
      </c>
      <c r="B52" s="181"/>
      <c r="C52" s="182"/>
      <c r="D52" s="181"/>
      <c r="E52" s="182"/>
      <c r="F52" s="181"/>
      <c r="G52" s="182"/>
      <c r="H52" s="181"/>
      <c r="I52" s="182"/>
      <c r="J52" s="14"/>
      <c r="K52" s="14"/>
      <c r="L52" s="181"/>
      <c r="M52" s="182"/>
      <c r="N52" s="14"/>
      <c r="O52" s="14"/>
      <c r="P52" s="181"/>
      <c r="Q52" s="228"/>
      <c r="R52" s="228"/>
      <c r="S52" s="228"/>
      <c r="T52" s="182"/>
      <c r="U52" s="181"/>
      <c r="V52" s="182"/>
      <c r="W52" s="14"/>
      <c r="Y52" s="13" t="s">
        <v>39</v>
      </c>
      <c r="Z52" s="23"/>
      <c r="AA52" s="24"/>
      <c r="AB52" s="25"/>
      <c r="AC52" s="26"/>
    </row>
    <row r="53" spans="1:30" ht="16" thickBot="1" x14ac:dyDescent="0.25">
      <c r="A53" s="13" t="s">
        <v>39</v>
      </c>
      <c r="B53" s="181"/>
      <c r="C53" s="182"/>
      <c r="D53" s="181"/>
      <c r="E53" s="182"/>
      <c r="F53" s="181"/>
      <c r="G53" s="182"/>
      <c r="H53" s="181"/>
      <c r="I53" s="182"/>
      <c r="J53" s="14"/>
      <c r="K53" s="14"/>
      <c r="L53" s="181"/>
      <c r="M53" s="182"/>
      <c r="N53" s="14"/>
      <c r="O53" s="14"/>
      <c r="P53" s="181"/>
      <c r="Q53" s="228"/>
      <c r="R53" s="228"/>
      <c r="S53" s="228"/>
      <c r="T53" s="182"/>
      <c r="U53" s="181"/>
      <c r="V53" s="182"/>
      <c r="W53" s="14"/>
      <c r="Y53" s="13" t="s">
        <v>40</v>
      </c>
      <c r="Z53" s="23"/>
      <c r="AA53" s="24"/>
      <c r="AB53" s="25"/>
      <c r="AC53" s="26"/>
    </row>
    <row r="54" spans="1:30" ht="16" thickBot="1" x14ac:dyDescent="0.25">
      <c r="A54" s="13" t="s">
        <v>40</v>
      </c>
      <c r="B54" s="181"/>
      <c r="C54" s="182"/>
      <c r="D54" s="181"/>
      <c r="E54" s="182"/>
      <c r="F54" s="181"/>
      <c r="G54" s="182"/>
      <c r="H54" s="181"/>
      <c r="I54" s="182"/>
      <c r="J54" s="14"/>
      <c r="K54" s="14"/>
      <c r="L54" s="181"/>
      <c r="M54" s="182"/>
      <c r="N54" s="14"/>
      <c r="O54" s="14"/>
      <c r="P54" s="181"/>
      <c r="Q54" s="228"/>
      <c r="R54" s="228"/>
      <c r="S54" s="228"/>
      <c r="T54" s="182"/>
      <c r="U54" s="181"/>
      <c r="V54" s="182"/>
      <c r="W54" s="14"/>
      <c r="Y54" s="13" t="s">
        <v>28</v>
      </c>
      <c r="Z54" s="23"/>
      <c r="AA54" s="24"/>
      <c r="AB54" s="25"/>
      <c r="AC54" s="26"/>
    </row>
    <row r="55" spans="1:30" ht="16" thickBot="1" x14ac:dyDescent="0.25">
      <c r="A55" s="13" t="s">
        <v>28</v>
      </c>
      <c r="B55" s="181"/>
      <c r="C55" s="182"/>
      <c r="D55" s="181"/>
      <c r="E55" s="182"/>
      <c r="F55" s="181"/>
      <c r="G55" s="182"/>
      <c r="H55" s="181"/>
      <c r="I55" s="182"/>
      <c r="J55" s="14"/>
      <c r="K55" s="14"/>
      <c r="L55" s="181"/>
      <c r="M55" s="182"/>
      <c r="N55" s="14"/>
      <c r="O55" s="14"/>
      <c r="P55" s="181"/>
      <c r="Q55" s="228"/>
      <c r="R55" s="228"/>
      <c r="S55" s="228"/>
      <c r="T55" s="182"/>
      <c r="U55" s="181"/>
      <c r="V55" s="182"/>
      <c r="W55" s="14"/>
      <c r="Y55" s="13" t="s">
        <v>36</v>
      </c>
      <c r="Z55" s="23"/>
      <c r="AA55" s="24"/>
      <c r="AB55" s="25"/>
      <c r="AC55" s="26"/>
    </row>
    <row r="56" spans="1:30" ht="16" thickBot="1" x14ac:dyDescent="0.25">
      <c r="A56" s="13" t="s">
        <v>31</v>
      </c>
      <c r="B56" s="181"/>
      <c r="C56" s="182"/>
      <c r="D56" s="181"/>
      <c r="E56" s="182"/>
      <c r="F56" s="181"/>
      <c r="G56" s="182"/>
      <c r="H56" s="181"/>
      <c r="I56" s="182"/>
      <c r="J56" s="14"/>
      <c r="K56" s="14"/>
      <c r="L56" s="181"/>
      <c r="M56" s="182"/>
      <c r="N56" s="14"/>
      <c r="O56" s="14"/>
      <c r="P56" s="181"/>
      <c r="Q56" s="228"/>
      <c r="R56" s="228"/>
      <c r="S56" s="228"/>
      <c r="T56" s="182"/>
      <c r="U56" s="181"/>
      <c r="V56" s="182"/>
      <c r="W56" s="14"/>
      <c r="Y56" s="13" t="s">
        <v>26</v>
      </c>
      <c r="Z56" s="23"/>
      <c r="AA56" s="24"/>
      <c r="AB56" s="25"/>
      <c r="AC56" s="26"/>
    </row>
    <row r="57" spans="1:30" ht="16" thickBot="1" x14ac:dyDescent="0.25">
      <c r="A57" s="13" t="s">
        <v>36</v>
      </c>
      <c r="B57" s="181"/>
      <c r="C57" s="182"/>
      <c r="D57" s="181"/>
      <c r="E57" s="182"/>
      <c r="F57" s="181"/>
      <c r="G57" s="182"/>
      <c r="H57" s="181"/>
      <c r="I57" s="182"/>
      <c r="J57" s="14"/>
      <c r="K57" s="14"/>
      <c r="L57" s="181"/>
      <c r="M57" s="182"/>
      <c r="N57" s="14"/>
      <c r="O57" s="14"/>
      <c r="P57" s="181"/>
      <c r="Q57" s="228"/>
      <c r="R57" s="228"/>
      <c r="S57" s="228"/>
      <c r="T57" s="182"/>
      <c r="U57" s="181"/>
      <c r="V57" s="182"/>
      <c r="W57" s="14"/>
      <c r="Y57" s="13" t="s">
        <v>35</v>
      </c>
      <c r="Z57" s="23"/>
      <c r="AA57" s="24"/>
      <c r="AB57" s="25"/>
      <c r="AC57" s="26"/>
    </row>
    <row r="58" spans="1:30" ht="16" thickBot="1" x14ac:dyDescent="0.25">
      <c r="A58" s="13" t="s">
        <v>26</v>
      </c>
      <c r="B58" s="181"/>
      <c r="C58" s="182"/>
      <c r="D58" s="181"/>
      <c r="E58" s="182"/>
      <c r="F58" s="181"/>
      <c r="G58" s="182"/>
      <c r="H58" s="181"/>
      <c r="I58" s="182"/>
      <c r="J58" s="14"/>
      <c r="K58" s="14"/>
      <c r="L58" s="181"/>
      <c r="M58" s="182"/>
      <c r="N58" s="14"/>
      <c r="O58" s="14"/>
      <c r="P58" s="181"/>
      <c r="Q58" s="228"/>
      <c r="R58" s="228"/>
      <c r="S58" s="228"/>
      <c r="T58" s="182"/>
      <c r="U58" s="181"/>
      <c r="V58" s="182"/>
      <c r="W58" s="14"/>
      <c r="Y58" s="13" t="s">
        <v>37</v>
      </c>
      <c r="Z58" s="27"/>
      <c r="AA58" s="28"/>
      <c r="AB58" s="29"/>
      <c r="AC58" s="30"/>
    </row>
    <row r="59" spans="1:30" ht="16" thickBot="1" x14ac:dyDescent="0.25">
      <c r="A59" s="13" t="s">
        <v>30</v>
      </c>
      <c r="B59" s="181"/>
      <c r="C59" s="182"/>
      <c r="D59" s="181"/>
      <c r="E59" s="182"/>
      <c r="F59" s="181"/>
      <c r="G59" s="182"/>
      <c r="H59" s="181"/>
      <c r="I59" s="182"/>
      <c r="J59" s="14"/>
      <c r="K59" s="14"/>
      <c r="L59" s="181"/>
      <c r="M59" s="182"/>
      <c r="N59" s="14"/>
      <c r="O59" s="14"/>
      <c r="P59" s="181"/>
      <c r="Q59" s="228"/>
      <c r="R59" s="228"/>
      <c r="S59" s="228"/>
      <c r="T59" s="182"/>
      <c r="U59" s="181"/>
      <c r="V59" s="182"/>
      <c r="W59" s="14"/>
      <c r="Y59" s="34" t="s">
        <v>71</v>
      </c>
      <c r="Z59" s="27"/>
      <c r="AA59" s="28"/>
      <c r="AB59" s="29"/>
      <c r="AC59" s="30"/>
    </row>
    <row r="60" spans="1:30" x14ac:dyDescent="0.2">
      <c r="A60" s="13" t="s">
        <v>35</v>
      </c>
      <c r="B60" s="181"/>
      <c r="C60" s="182"/>
      <c r="D60" s="181"/>
      <c r="E60" s="182"/>
      <c r="F60" s="181"/>
      <c r="G60" s="182"/>
      <c r="H60" s="181"/>
      <c r="I60" s="182"/>
      <c r="J60" s="14"/>
      <c r="K60" s="14"/>
      <c r="L60" s="181"/>
      <c r="M60" s="182"/>
      <c r="N60" s="14"/>
      <c r="O60" s="14"/>
      <c r="P60" s="181"/>
      <c r="Q60" s="228"/>
      <c r="R60" s="228"/>
      <c r="S60" s="228"/>
      <c r="T60" s="182"/>
      <c r="U60" s="181"/>
      <c r="V60" s="182"/>
      <c r="W60" s="14"/>
    </row>
    <row r="61" spans="1:30" x14ac:dyDescent="0.2">
      <c r="A61" s="13" t="s">
        <v>41</v>
      </c>
      <c r="B61" s="181"/>
      <c r="C61" s="182"/>
      <c r="D61" s="181"/>
      <c r="E61" s="182"/>
      <c r="F61" s="181"/>
      <c r="G61" s="182"/>
      <c r="H61" s="181"/>
      <c r="I61" s="182"/>
      <c r="J61" s="14"/>
      <c r="K61" s="14"/>
      <c r="L61" s="181"/>
      <c r="M61" s="182"/>
      <c r="N61" s="14"/>
      <c r="O61" s="14"/>
      <c r="P61" s="181"/>
      <c r="Q61" s="228"/>
      <c r="R61" s="228"/>
      <c r="S61" s="228"/>
      <c r="T61" s="182"/>
      <c r="U61" s="181"/>
      <c r="V61" s="182"/>
      <c r="W61" s="14"/>
    </row>
    <row r="62" spans="1:30" x14ac:dyDescent="0.2">
      <c r="A62" s="13" t="s">
        <v>37</v>
      </c>
      <c r="B62" s="181"/>
      <c r="C62" s="182"/>
      <c r="D62" s="181"/>
      <c r="E62" s="182"/>
      <c r="F62" s="181"/>
      <c r="G62" s="182"/>
      <c r="H62" s="181"/>
      <c r="I62" s="182"/>
      <c r="J62" s="14"/>
      <c r="K62" s="14"/>
      <c r="L62" s="181"/>
      <c r="M62" s="182"/>
      <c r="N62" s="14"/>
      <c r="O62" s="14"/>
      <c r="P62" s="181"/>
      <c r="Q62" s="228"/>
      <c r="R62" s="228"/>
      <c r="S62" s="228"/>
      <c r="T62" s="182"/>
      <c r="U62" s="181"/>
      <c r="V62" s="182"/>
      <c r="W62" s="14"/>
    </row>
    <row r="64" spans="1:30" ht="14.25" customHeight="1" x14ac:dyDescent="0.2">
      <c r="A64" s="229" t="s">
        <v>62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29"/>
      <c r="P64" s="229"/>
      <c r="Q64" s="229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</row>
    <row r="65" spans="1:30" ht="14.75" customHeight="1" thickBot="1" x14ac:dyDescent="0.25">
      <c r="A65" s="229"/>
      <c r="B65" s="229"/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</row>
    <row r="66" spans="1:30" ht="16" thickBot="1" x14ac:dyDescent="0.25">
      <c r="B66" s="142" t="s">
        <v>44</v>
      </c>
      <c r="C66" s="143"/>
      <c r="D66" s="142" t="s">
        <v>2</v>
      </c>
      <c r="E66" s="143"/>
      <c r="F66" s="142" t="s">
        <v>3</v>
      </c>
      <c r="G66" s="143"/>
      <c r="H66" s="142" t="s">
        <v>4</v>
      </c>
      <c r="I66" s="143"/>
      <c r="J66" s="150" t="s">
        <v>5</v>
      </c>
      <c r="K66" s="150" t="s">
        <v>6</v>
      </c>
      <c r="L66" s="158" t="s">
        <v>7</v>
      </c>
      <c r="M66" s="159"/>
      <c r="N66" s="150" t="s">
        <v>8</v>
      </c>
      <c r="O66" s="150" t="s">
        <v>9</v>
      </c>
      <c r="P66" s="142" t="s">
        <v>45</v>
      </c>
      <c r="Q66" s="156"/>
      <c r="R66" s="156"/>
      <c r="S66" s="156"/>
      <c r="T66" s="143"/>
      <c r="U66" s="138" t="s">
        <v>13</v>
      </c>
      <c r="V66" s="139"/>
      <c r="W66" s="15" t="s">
        <v>14</v>
      </c>
      <c r="Z66" s="130" t="s">
        <v>58</v>
      </c>
      <c r="AA66" s="131"/>
      <c r="AB66" s="131"/>
      <c r="AC66" s="132"/>
    </row>
    <row r="67" spans="1:30" ht="16" thickBot="1" x14ac:dyDescent="0.25">
      <c r="B67" s="230"/>
      <c r="C67" s="231"/>
      <c r="D67" s="230"/>
      <c r="E67" s="231"/>
      <c r="F67" s="230"/>
      <c r="G67" s="231"/>
      <c r="H67" s="230"/>
      <c r="I67" s="231"/>
      <c r="J67" s="232"/>
      <c r="K67" s="232"/>
      <c r="L67" s="233"/>
      <c r="M67" s="234"/>
      <c r="N67" s="232"/>
      <c r="O67" s="232"/>
      <c r="P67" s="230"/>
      <c r="Q67" s="235"/>
      <c r="R67" s="235"/>
      <c r="S67" s="235"/>
      <c r="T67" s="231"/>
      <c r="U67" s="236"/>
      <c r="V67" s="237"/>
      <c r="W67" s="18" t="s">
        <v>17</v>
      </c>
      <c r="Z67" s="238" t="s">
        <v>59</v>
      </c>
      <c r="AA67" s="239"/>
      <c r="AB67" s="240" t="s">
        <v>60</v>
      </c>
      <c r="AC67" s="136"/>
    </row>
    <row r="68" spans="1:30" ht="16" thickBot="1" x14ac:dyDescent="0.25">
      <c r="A68" s="13" t="s">
        <v>34</v>
      </c>
      <c r="B68" s="181"/>
      <c r="C68" s="182"/>
      <c r="D68" s="181"/>
      <c r="E68" s="182"/>
      <c r="F68" s="181"/>
      <c r="G68" s="182"/>
      <c r="H68" s="181"/>
      <c r="I68" s="182"/>
      <c r="J68" s="14"/>
      <c r="K68" s="14"/>
      <c r="L68" s="181"/>
      <c r="M68" s="182"/>
      <c r="N68" s="14"/>
      <c r="O68" s="14"/>
      <c r="P68" s="181"/>
      <c r="Q68" s="228"/>
      <c r="R68" s="228"/>
      <c r="S68" s="228"/>
      <c r="T68" s="182"/>
      <c r="U68" s="181"/>
      <c r="V68" s="182"/>
      <c r="W68" s="14"/>
      <c r="Y68" s="31" t="s">
        <v>32</v>
      </c>
      <c r="Z68" s="23"/>
      <c r="AA68" s="24"/>
      <c r="AB68" s="32"/>
      <c r="AC68" s="33"/>
    </row>
    <row r="69" spans="1:30" ht="16" thickBot="1" x14ac:dyDescent="0.25">
      <c r="A69" s="13" t="s">
        <v>32</v>
      </c>
      <c r="B69" s="181"/>
      <c r="C69" s="182"/>
      <c r="D69" s="181"/>
      <c r="E69" s="182"/>
      <c r="F69" s="181"/>
      <c r="G69" s="182"/>
      <c r="H69" s="181"/>
      <c r="I69" s="182"/>
      <c r="J69" s="14"/>
      <c r="K69" s="14"/>
      <c r="L69" s="181"/>
      <c r="M69" s="182"/>
      <c r="N69" s="14"/>
      <c r="O69" s="14"/>
      <c r="P69" s="181"/>
      <c r="Q69" s="228"/>
      <c r="R69" s="228"/>
      <c r="S69" s="228"/>
      <c r="T69" s="182"/>
      <c r="U69" s="181"/>
      <c r="V69" s="182"/>
      <c r="W69" s="14"/>
      <c r="Y69" s="13" t="s">
        <v>34</v>
      </c>
      <c r="Z69" s="23"/>
      <c r="AA69" s="24"/>
      <c r="AB69" s="241"/>
      <c r="AC69" s="242"/>
    </row>
    <row r="70" spans="1:30" ht="16" thickBot="1" x14ac:dyDescent="0.25">
      <c r="A70" s="13" t="s">
        <v>33</v>
      </c>
      <c r="B70" s="181"/>
      <c r="C70" s="182"/>
      <c r="D70" s="181"/>
      <c r="E70" s="182"/>
      <c r="F70" s="181"/>
      <c r="G70" s="182"/>
      <c r="H70" s="181"/>
      <c r="I70" s="182"/>
      <c r="J70" s="14"/>
      <c r="K70" s="14"/>
      <c r="L70" s="181"/>
      <c r="M70" s="182"/>
      <c r="N70" s="14"/>
      <c r="O70" s="14"/>
      <c r="P70" s="181"/>
      <c r="Q70" s="228"/>
      <c r="R70" s="228"/>
      <c r="S70" s="228"/>
      <c r="T70" s="182"/>
      <c r="U70" s="181"/>
      <c r="V70" s="182"/>
      <c r="W70" s="14"/>
      <c r="Y70" s="13" t="s">
        <v>38</v>
      </c>
      <c r="Z70" s="23"/>
      <c r="AA70" s="24"/>
      <c r="AB70" s="25"/>
      <c r="AC70" s="26"/>
    </row>
    <row r="71" spans="1:30" ht="16" thickBot="1" x14ac:dyDescent="0.25">
      <c r="A71" s="13" t="s">
        <v>38</v>
      </c>
      <c r="B71" s="181"/>
      <c r="C71" s="182"/>
      <c r="D71" s="181"/>
      <c r="E71" s="182"/>
      <c r="F71" s="181"/>
      <c r="G71" s="182"/>
      <c r="H71" s="181"/>
      <c r="I71" s="182"/>
      <c r="J71" s="14"/>
      <c r="K71" s="14"/>
      <c r="L71" s="181"/>
      <c r="M71" s="182"/>
      <c r="N71" s="14"/>
      <c r="O71" s="14"/>
      <c r="P71" s="181"/>
      <c r="Q71" s="228"/>
      <c r="R71" s="228"/>
      <c r="S71" s="228"/>
      <c r="T71" s="182"/>
      <c r="U71" s="181"/>
      <c r="V71" s="182"/>
      <c r="W71" s="14"/>
      <c r="Y71" s="13" t="s">
        <v>27</v>
      </c>
      <c r="Z71" s="23"/>
      <c r="AA71" s="24"/>
      <c r="AB71" s="25"/>
      <c r="AC71" s="26"/>
    </row>
    <row r="72" spans="1:30" ht="16" thickBot="1" x14ac:dyDescent="0.25">
      <c r="A72" s="13" t="s">
        <v>27</v>
      </c>
      <c r="B72" s="181"/>
      <c r="C72" s="182"/>
      <c r="D72" s="181"/>
      <c r="E72" s="182"/>
      <c r="F72" s="181"/>
      <c r="G72" s="182"/>
      <c r="H72" s="181"/>
      <c r="I72" s="182"/>
      <c r="J72" s="14"/>
      <c r="K72" s="14"/>
      <c r="L72" s="181"/>
      <c r="M72" s="182"/>
      <c r="N72" s="14"/>
      <c r="O72" s="14"/>
      <c r="P72" s="181"/>
      <c r="Q72" s="228"/>
      <c r="R72" s="228"/>
      <c r="S72" s="228"/>
      <c r="T72" s="182"/>
      <c r="U72" s="181"/>
      <c r="V72" s="182"/>
      <c r="W72" s="14"/>
      <c r="Y72" s="13" t="s">
        <v>25</v>
      </c>
      <c r="Z72" s="23"/>
      <c r="AA72" s="24"/>
      <c r="AB72" s="25"/>
      <c r="AC72" s="26"/>
    </row>
    <row r="73" spans="1:30" ht="16" thickBot="1" x14ac:dyDescent="0.25">
      <c r="A73" s="13" t="s">
        <v>25</v>
      </c>
      <c r="B73" s="181"/>
      <c r="C73" s="182"/>
      <c r="D73" s="181"/>
      <c r="E73" s="182"/>
      <c r="F73" s="181"/>
      <c r="G73" s="182"/>
      <c r="H73" s="181"/>
      <c r="I73" s="182"/>
      <c r="J73" s="14"/>
      <c r="K73" s="14"/>
      <c r="L73" s="181"/>
      <c r="M73" s="182"/>
      <c r="N73" s="14"/>
      <c r="O73" s="14"/>
      <c r="P73" s="181"/>
      <c r="Q73" s="228"/>
      <c r="R73" s="228"/>
      <c r="S73" s="228"/>
      <c r="T73" s="182"/>
      <c r="U73" s="181"/>
      <c r="V73" s="182"/>
      <c r="W73" s="14"/>
      <c r="Y73" s="13" t="s">
        <v>39</v>
      </c>
      <c r="Z73" s="23"/>
      <c r="AA73" s="24"/>
      <c r="AB73" s="25"/>
      <c r="AC73" s="26"/>
    </row>
    <row r="74" spans="1:30" ht="16" thickBot="1" x14ac:dyDescent="0.25">
      <c r="A74" s="13" t="s">
        <v>39</v>
      </c>
      <c r="B74" s="181"/>
      <c r="C74" s="182"/>
      <c r="D74" s="181"/>
      <c r="E74" s="182"/>
      <c r="F74" s="181"/>
      <c r="G74" s="182"/>
      <c r="H74" s="181"/>
      <c r="I74" s="182"/>
      <c r="J74" s="14"/>
      <c r="K74" s="14"/>
      <c r="L74" s="181"/>
      <c r="M74" s="182"/>
      <c r="N74" s="14"/>
      <c r="O74" s="14"/>
      <c r="P74" s="181"/>
      <c r="Q74" s="228"/>
      <c r="R74" s="228"/>
      <c r="S74" s="228"/>
      <c r="T74" s="182"/>
      <c r="U74" s="181"/>
      <c r="V74" s="182"/>
      <c r="W74" s="14"/>
      <c r="Y74" s="13" t="s">
        <v>40</v>
      </c>
      <c r="Z74" s="23"/>
      <c r="AA74" s="24"/>
      <c r="AB74" s="25"/>
      <c r="AC74" s="26"/>
    </row>
    <row r="75" spans="1:30" ht="16" thickBot="1" x14ac:dyDescent="0.25">
      <c r="A75" s="13" t="s">
        <v>40</v>
      </c>
      <c r="B75" s="181"/>
      <c r="C75" s="182"/>
      <c r="D75" s="181"/>
      <c r="E75" s="182"/>
      <c r="F75" s="181"/>
      <c r="G75" s="182"/>
      <c r="H75" s="181"/>
      <c r="I75" s="182"/>
      <c r="J75" s="14"/>
      <c r="K75" s="14"/>
      <c r="L75" s="181"/>
      <c r="M75" s="182"/>
      <c r="N75" s="14"/>
      <c r="O75" s="14"/>
      <c r="P75" s="181"/>
      <c r="Q75" s="228"/>
      <c r="R75" s="228"/>
      <c r="S75" s="228"/>
      <c r="T75" s="182"/>
      <c r="U75" s="181"/>
      <c r="V75" s="182"/>
      <c r="W75" s="14"/>
      <c r="Y75" s="13" t="s">
        <v>28</v>
      </c>
      <c r="Z75" s="23"/>
      <c r="AA75" s="24"/>
      <c r="AB75" s="25"/>
      <c r="AC75" s="26"/>
    </row>
    <row r="76" spans="1:30" ht="16" thickBot="1" x14ac:dyDescent="0.25">
      <c r="A76" s="13" t="s">
        <v>28</v>
      </c>
      <c r="B76" s="181"/>
      <c r="C76" s="182"/>
      <c r="D76" s="181"/>
      <c r="E76" s="182"/>
      <c r="F76" s="181"/>
      <c r="G76" s="182"/>
      <c r="H76" s="181"/>
      <c r="I76" s="182"/>
      <c r="J76" s="14"/>
      <c r="K76" s="14"/>
      <c r="L76" s="181"/>
      <c r="M76" s="182"/>
      <c r="N76" s="14"/>
      <c r="O76" s="14"/>
      <c r="P76" s="181"/>
      <c r="Q76" s="228"/>
      <c r="R76" s="228"/>
      <c r="S76" s="228"/>
      <c r="T76" s="182"/>
      <c r="U76" s="181"/>
      <c r="V76" s="182"/>
      <c r="W76" s="14"/>
      <c r="Y76" s="13" t="s">
        <v>36</v>
      </c>
      <c r="Z76" s="23"/>
      <c r="AA76" s="24"/>
      <c r="AB76" s="25"/>
      <c r="AC76" s="26"/>
    </row>
    <row r="77" spans="1:30" ht="16" thickBot="1" x14ac:dyDescent="0.25">
      <c r="A77" s="13" t="s">
        <v>31</v>
      </c>
      <c r="B77" s="181"/>
      <c r="C77" s="182"/>
      <c r="D77" s="181"/>
      <c r="E77" s="182"/>
      <c r="F77" s="181"/>
      <c r="G77" s="182"/>
      <c r="H77" s="181"/>
      <c r="I77" s="182"/>
      <c r="J77" s="14"/>
      <c r="K77" s="14"/>
      <c r="L77" s="181"/>
      <c r="M77" s="182"/>
      <c r="N77" s="14"/>
      <c r="O77" s="14"/>
      <c r="P77" s="181"/>
      <c r="Q77" s="228"/>
      <c r="R77" s="228"/>
      <c r="S77" s="228"/>
      <c r="T77" s="182"/>
      <c r="U77" s="181"/>
      <c r="V77" s="182"/>
      <c r="W77" s="14"/>
      <c r="Y77" s="13" t="s">
        <v>26</v>
      </c>
      <c r="Z77" s="23"/>
      <c r="AA77" s="24"/>
      <c r="AB77" s="25"/>
      <c r="AC77" s="26"/>
    </row>
    <row r="78" spans="1:30" ht="16" thickBot="1" x14ac:dyDescent="0.25">
      <c r="A78" s="13" t="s">
        <v>36</v>
      </c>
      <c r="B78" s="181"/>
      <c r="C78" s="182"/>
      <c r="D78" s="181"/>
      <c r="E78" s="182"/>
      <c r="F78" s="181"/>
      <c r="G78" s="182"/>
      <c r="H78" s="181"/>
      <c r="I78" s="182"/>
      <c r="J78" s="14"/>
      <c r="K78" s="14"/>
      <c r="L78" s="181"/>
      <c r="M78" s="182"/>
      <c r="N78" s="14"/>
      <c r="O78" s="14"/>
      <c r="P78" s="181"/>
      <c r="Q78" s="228"/>
      <c r="R78" s="228"/>
      <c r="S78" s="228"/>
      <c r="T78" s="182"/>
      <c r="U78" s="181"/>
      <c r="V78" s="182"/>
      <c r="W78" s="14"/>
      <c r="Y78" s="13" t="s">
        <v>35</v>
      </c>
      <c r="Z78" s="23"/>
      <c r="AA78" s="24"/>
      <c r="AB78" s="25"/>
      <c r="AC78" s="26"/>
    </row>
    <row r="79" spans="1:30" ht="16" thickBot="1" x14ac:dyDescent="0.25">
      <c r="A79" s="13" t="s">
        <v>26</v>
      </c>
      <c r="B79" s="181"/>
      <c r="C79" s="182"/>
      <c r="D79" s="181"/>
      <c r="E79" s="182"/>
      <c r="F79" s="181"/>
      <c r="G79" s="182"/>
      <c r="H79" s="181"/>
      <c r="I79" s="182"/>
      <c r="J79" s="14"/>
      <c r="K79" s="14"/>
      <c r="L79" s="181"/>
      <c r="M79" s="182"/>
      <c r="N79" s="14"/>
      <c r="O79" s="14"/>
      <c r="P79" s="181"/>
      <c r="Q79" s="228"/>
      <c r="R79" s="228"/>
      <c r="S79" s="228"/>
      <c r="T79" s="182"/>
      <c r="U79" s="181"/>
      <c r="V79" s="182"/>
      <c r="W79" s="14"/>
      <c r="Y79" s="13" t="s">
        <v>37</v>
      </c>
      <c r="Z79" s="27"/>
      <c r="AA79" s="28"/>
      <c r="AB79" s="29"/>
      <c r="AC79" s="30"/>
    </row>
    <row r="80" spans="1:30" ht="16" thickBot="1" x14ac:dyDescent="0.25">
      <c r="A80" s="13" t="s">
        <v>30</v>
      </c>
      <c r="B80" s="181"/>
      <c r="C80" s="182"/>
      <c r="D80" s="181"/>
      <c r="E80" s="182"/>
      <c r="F80" s="181"/>
      <c r="G80" s="182"/>
      <c r="H80" s="181"/>
      <c r="I80" s="182"/>
      <c r="J80" s="14"/>
      <c r="K80" s="14"/>
      <c r="L80" s="181"/>
      <c r="M80" s="182"/>
      <c r="N80" s="14"/>
      <c r="O80" s="14"/>
      <c r="P80" s="181"/>
      <c r="Q80" s="228"/>
      <c r="R80" s="228"/>
      <c r="S80" s="228"/>
      <c r="T80" s="182"/>
      <c r="U80" s="181"/>
      <c r="V80" s="182"/>
      <c r="W80" s="14"/>
      <c r="Y80" s="34" t="s">
        <v>71</v>
      </c>
      <c r="Z80" s="27"/>
      <c r="AA80" s="28"/>
      <c r="AB80" s="29"/>
      <c r="AC80" s="30"/>
    </row>
    <row r="81" spans="1:30" x14ac:dyDescent="0.2">
      <c r="A81" s="13" t="s">
        <v>35</v>
      </c>
      <c r="B81" s="181"/>
      <c r="C81" s="182"/>
      <c r="D81" s="181"/>
      <c r="E81" s="182"/>
      <c r="F81" s="181"/>
      <c r="G81" s="182"/>
      <c r="H81" s="181"/>
      <c r="I81" s="182"/>
      <c r="J81" s="14"/>
      <c r="K81" s="14"/>
      <c r="L81" s="181"/>
      <c r="M81" s="182"/>
      <c r="N81" s="14"/>
      <c r="O81" s="14"/>
      <c r="P81" s="181"/>
      <c r="Q81" s="228"/>
      <c r="R81" s="228"/>
      <c r="S81" s="228"/>
      <c r="T81" s="182"/>
      <c r="U81" s="181"/>
      <c r="V81" s="182"/>
      <c r="W81" s="14"/>
    </row>
    <row r="82" spans="1:30" x14ac:dyDescent="0.2">
      <c r="A82" s="13" t="s">
        <v>41</v>
      </c>
      <c r="B82" s="181"/>
      <c r="C82" s="182"/>
      <c r="D82" s="181"/>
      <c r="E82" s="182"/>
      <c r="F82" s="181"/>
      <c r="G82" s="182"/>
      <c r="H82" s="181"/>
      <c r="I82" s="182"/>
      <c r="J82" s="14"/>
      <c r="K82" s="14"/>
      <c r="L82" s="181"/>
      <c r="M82" s="182"/>
      <c r="N82" s="14"/>
      <c r="O82" s="14"/>
      <c r="P82" s="181"/>
      <c r="Q82" s="228"/>
      <c r="R82" s="228"/>
      <c r="S82" s="228"/>
      <c r="T82" s="182"/>
      <c r="U82" s="181"/>
      <c r="V82" s="182"/>
      <c r="W82" s="14"/>
    </row>
    <row r="83" spans="1:30" x14ac:dyDescent="0.2">
      <c r="A83" s="13" t="s">
        <v>37</v>
      </c>
      <c r="B83" s="181"/>
      <c r="C83" s="182"/>
      <c r="D83" s="181"/>
      <c r="E83" s="182"/>
      <c r="F83" s="181"/>
      <c r="G83" s="182"/>
      <c r="H83" s="181"/>
      <c r="I83" s="182"/>
      <c r="J83" s="14"/>
      <c r="K83" s="14"/>
      <c r="L83" s="181"/>
      <c r="M83" s="182"/>
      <c r="N83" s="14"/>
      <c r="O83" s="14"/>
      <c r="P83" s="181"/>
      <c r="Q83" s="228"/>
      <c r="R83" s="228"/>
      <c r="S83" s="228"/>
      <c r="T83" s="182"/>
      <c r="U83" s="181"/>
      <c r="V83" s="182"/>
      <c r="W83" s="14"/>
    </row>
    <row r="85" spans="1:30" ht="14.25" customHeight="1" x14ac:dyDescent="0.2">
      <c r="A85" s="229" t="s">
        <v>64</v>
      </c>
      <c r="B85" s="229"/>
      <c r="C85" s="229"/>
      <c r="D85" s="229"/>
      <c r="E85" s="229"/>
      <c r="F85" s="229"/>
      <c r="G85" s="229"/>
      <c r="H85" s="229"/>
      <c r="I85" s="229"/>
      <c r="J85" s="229"/>
      <c r="K85" s="229"/>
      <c r="L85" s="229"/>
      <c r="M85" s="229"/>
      <c r="N85" s="229"/>
      <c r="O85" s="229"/>
      <c r="P85" s="229"/>
      <c r="Q85" s="229"/>
      <c r="R85" s="229"/>
      <c r="S85" s="229"/>
      <c r="T85" s="229"/>
      <c r="U85" s="229"/>
      <c r="V85" s="229"/>
      <c r="W85" s="229"/>
      <c r="X85" s="229"/>
      <c r="Y85" s="229"/>
      <c r="Z85" s="229"/>
      <c r="AA85" s="229"/>
      <c r="AB85" s="229"/>
      <c r="AC85" s="229"/>
      <c r="AD85" s="229"/>
    </row>
    <row r="86" spans="1:30" ht="14.75" customHeight="1" thickBot="1" x14ac:dyDescent="0.25">
      <c r="A86" s="229"/>
      <c r="B86" s="229"/>
      <c r="C86" s="229"/>
      <c r="D86" s="229"/>
      <c r="E86" s="229"/>
      <c r="F86" s="229"/>
      <c r="G86" s="229"/>
      <c r="H86" s="229"/>
      <c r="I86" s="229"/>
      <c r="J86" s="229"/>
      <c r="K86" s="229"/>
      <c r="L86" s="229"/>
      <c r="M86" s="229"/>
      <c r="N86" s="229"/>
      <c r="O86" s="229"/>
      <c r="P86" s="229"/>
      <c r="Q86" s="229"/>
      <c r="R86" s="229"/>
      <c r="S86" s="229"/>
      <c r="T86" s="229"/>
      <c r="U86" s="229"/>
      <c r="V86" s="229"/>
      <c r="W86" s="229"/>
      <c r="X86" s="229"/>
      <c r="Y86" s="229"/>
      <c r="Z86" s="229"/>
      <c r="AA86" s="229"/>
      <c r="AB86" s="229"/>
      <c r="AC86" s="229"/>
      <c r="AD86" s="229"/>
    </row>
    <row r="87" spans="1:30" ht="16" thickBot="1" x14ac:dyDescent="0.25">
      <c r="B87" s="142" t="s">
        <v>44</v>
      </c>
      <c r="C87" s="143"/>
      <c r="D87" s="142" t="s">
        <v>2</v>
      </c>
      <c r="E87" s="143"/>
      <c r="F87" s="142" t="s">
        <v>3</v>
      </c>
      <c r="G87" s="143"/>
      <c r="H87" s="142" t="s">
        <v>4</v>
      </c>
      <c r="I87" s="143"/>
      <c r="J87" s="150" t="s">
        <v>5</v>
      </c>
      <c r="K87" s="150" t="s">
        <v>6</v>
      </c>
      <c r="L87" s="158" t="s">
        <v>7</v>
      </c>
      <c r="M87" s="159"/>
      <c r="N87" s="150" t="s">
        <v>8</v>
      </c>
      <c r="O87" s="150" t="s">
        <v>9</v>
      </c>
      <c r="P87" s="142" t="s">
        <v>45</v>
      </c>
      <c r="Q87" s="156"/>
      <c r="R87" s="156"/>
      <c r="S87" s="156"/>
      <c r="T87" s="143"/>
      <c r="U87" s="138" t="s">
        <v>13</v>
      </c>
      <c r="V87" s="139"/>
      <c r="W87" s="15" t="s">
        <v>14</v>
      </c>
      <c r="Z87" s="130" t="s">
        <v>58</v>
      </c>
      <c r="AA87" s="131"/>
      <c r="AB87" s="131"/>
      <c r="AC87" s="132"/>
    </row>
    <row r="88" spans="1:30" ht="16" thickBot="1" x14ac:dyDescent="0.25">
      <c r="B88" s="230"/>
      <c r="C88" s="231"/>
      <c r="D88" s="230"/>
      <c r="E88" s="231"/>
      <c r="F88" s="230"/>
      <c r="G88" s="231"/>
      <c r="H88" s="230"/>
      <c r="I88" s="231"/>
      <c r="J88" s="232"/>
      <c r="K88" s="232"/>
      <c r="L88" s="233"/>
      <c r="M88" s="234"/>
      <c r="N88" s="232"/>
      <c r="O88" s="232"/>
      <c r="P88" s="230"/>
      <c r="Q88" s="235"/>
      <c r="R88" s="235"/>
      <c r="S88" s="235"/>
      <c r="T88" s="231"/>
      <c r="U88" s="236"/>
      <c r="V88" s="237"/>
      <c r="W88" s="18" t="s">
        <v>17</v>
      </c>
      <c r="Z88" s="133" t="s">
        <v>59</v>
      </c>
      <c r="AA88" s="134"/>
      <c r="AB88" s="135" t="s">
        <v>60</v>
      </c>
      <c r="AC88" s="136"/>
    </row>
    <row r="89" spans="1:30" ht="16" thickBot="1" x14ac:dyDescent="0.25">
      <c r="A89" s="13" t="s">
        <v>34</v>
      </c>
      <c r="B89" s="181"/>
      <c r="C89" s="182"/>
      <c r="D89" s="181"/>
      <c r="E89" s="182"/>
      <c r="F89" s="181"/>
      <c r="G89" s="182"/>
      <c r="H89" s="181"/>
      <c r="I89" s="182"/>
      <c r="J89" s="14"/>
      <c r="K89" s="14"/>
      <c r="L89" s="181"/>
      <c r="M89" s="182"/>
      <c r="N89" s="14"/>
      <c r="O89" s="14"/>
      <c r="P89" s="181"/>
      <c r="Q89" s="228"/>
      <c r="R89" s="228"/>
      <c r="S89" s="228"/>
      <c r="T89" s="182"/>
      <c r="U89" s="181"/>
      <c r="V89" s="182"/>
      <c r="W89" s="14"/>
      <c r="Y89" s="31" t="s">
        <v>32</v>
      </c>
      <c r="Z89" s="23"/>
      <c r="AA89" s="24"/>
      <c r="AB89" s="32"/>
      <c r="AC89" s="33"/>
    </row>
    <row r="90" spans="1:30" ht="16" thickBot="1" x14ac:dyDescent="0.25">
      <c r="A90" s="13" t="s">
        <v>32</v>
      </c>
      <c r="B90" s="181"/>
      <c r="C90" s="182"/>
      <c r="D90" s="181"/>
      <c r="E90" s="182"/>
      <c r="F90" s="181"/>
      <c r="G90" s="182"/>
      <c r="H90" s="181"/>
      <c r="I90" s="182"/>
      <c r="J90" s="14"/>
      <c r="K90" s="14"/>
      <c r="L90" s="181"/>
      <c r="M90" s="182"/>
      <c r="N90" s="14"/>
      <c r="O90" s="14"/>
      <c r="P90" s="181"/>
      <c r="Q90" s="228"/>
      <c r="R90" s="228"/>
      <c r="S90" s="228"/>
      <c r="T90" s="182"/>
      <c r="U90" s="181"/>
      <c r="V90" s="182"/>
      <c r="W90" s="14"/>
      <c r="Y90" s="13" t="s">
        <v>34</v>
      </c>
      <c r="Z90" s="23"/>
      <c r="AA90" s="24"/>
      <c r="AB90" s="241"/>
      <c r="AC90" s="242"/>
    </row>
    <row r="91" spans="1:30" ht="16" thickBot="1" x14ac:dyDescent="0.25">
      <c r="A91" s="13" t="s">
        <v>33</v>
      </c>
      <c r="B91" s="181"/>
      <c r="C91" s="182"/>
      <c r="D91" s="181"/>
      <c r="E91" s="182"/>
      <c r="F91" s="181"/>
      <c r="G91" s="182"/>
      <c r="H91" s="181"/>
      <c r="I91" s="182"/>
      <c r="J91" s="14"/>
      <c r="K91" s="14"/>
      <c r="L91" s="181"/>
      <c r="M91" s="182"/>
      <c r="N91" s="14"/>
      <c r="O91" s="14"/>
      <c r="P91" s="181"/>
      <c r="Q91" s="228"/>
      <c r="R91" s="228"/>
      <c r="S91" s="228"/>
      <c r="T91" s="182"/>
      <c r="U91" s="181"/>
      <c r="V91" s="182"/>
      <c r="W91" s="14"/>
      <c r="Y91" s="13" t="s">
        <v>38</v>
      </c>
      <c r="Z91" s="23"/>
      <c r="AA91" s="24"/>
      <c r="AB91" s="25"/>
      <c r="AC91" s="26"/>
    </row>
    <row r="92" spans="1:30" ht="16" thickBot="1" x14ac:dyDescent="0.25">
      <c r="A92" s="13" t="s">
        <v>38</v>
      </c>
      <c r="B92" s="181"/>
      <c r="C92" s="182"/>
      <c r="D92" s="181"/>
      <c r="E92" s="182"/>
      <c r="F92" s="181"/>
      <c r="G92" s="182"/>
      <c r="H92" s="181"/>
      <c r="I92" s="182"/>
      <c r="J92" s="14"/>
      <c r="K92" s="14"/>
      <c r="L92" s="181"/>
      <c r="M92" s="182"/>
      <c r="N92" s="14"/>
      <c r="O92" s="14"/>
      <c r="P92" s="181"/>
      <c r="Q92" s="228"/>
      <c r="R92" s="228"/>
      <c r="S92" s="228"/>
      <c r="T92" s="182"/>
      <c r="U92" s="181"/>
      <c r="V92" s="182"/>
      <c r="W92" s="14"/>
      <c r="Y92" s="13" t="s">
        <v>27</v>
      </c>
      <c r="Z92" s="23"/>
      <c r="AA92" s="24"/>
      <c r="AB92" s="25"/>
      <c r="AC92" s="26"/>
    </row>
    <row r="93" spans="1:30" ht="16" thickBot="1" x14ac:dyDescent="0.25">
      <c r="A93" s="13" t="s">
        <v>27</v>
      </c>
      <c r="B93" s="181"/>
      <c r="C93" s="182"/>
      <c r="D93" s="181"/>
      <c r="E93" s="182"/>
      <c r="F93" s="181"/>
      <c r="G93" s="182"/>
      <c r="H93" s="181"/>
      <c r="I93" s="182"/>
      <c r="J93" s="14"/>
      <c r="K93" s="14"/>
      <c r="L93" s="181"/>
      <c r="M93" s="182"/>
      <c r="N93" s="14"/>
      <c r="O93" s="14"/>
      <c r="P93" s="181"/>
      <c r="Q93" s="228"/>
      <c r="R93" s="228"/>
      <c r="S93" s="228"/>
      <c r="T93" s="182"/>
      <c r="U93" s="181"/>
      <c r="V93" s="182"/>
      <c r="W93" s="14"/>
      <c r="Y93" s="13" t="s">
        <v>25</v>
      </c>
      <c r="Z93" s="23"/>
      <c r="AA93" s="24"/>
      <c r="AB93" s="25"/>
      <c r="AC93" s="26"/>
    </row>
    <row r="94" spans="1:30" ht="16" thickBot="1" x14ac:dyDescent="0.25">
      <c r="A94" s="13" t="s">
        <v>25</v>
      </c>
      <c r="B94" s="181"/>
      <c r="C94" s="182"/>
      <c r="D94" s="181"/>
      <c r="E94" s="182"/>
      <c r="F94" s="181"/>
      <c r="G94" s="182"/>
      <c r="H94" s="181"/>
      <c r="I94" s="182"/>
      <c r="J94" s="14"/>
      <c r="K94" s="14"/>
      <c r="L94" s="181"/>
      <c r="M94" s="182"/>
      <c r="N94" s="14"/>
      <c r="O94" s="14"/>
      <c r="P94" s="181"/>
      <c r="Q94" s="228"/>
      <c r="R94" s="228"/>
      <c r="S94" s="228"/>
      <c r="T94" s="182"/>
      <c r="U94" s="181"/>
      <c r="V94" s="182"/>
      <c r="W94" s="14"/>
      <c r="Y94" s="13" t="s">
        <v>39</v>
      </c>
      <c r="Z94" s="23"/>
      <c r="AA94" s="24"/>
      <c r="AB94" s="25"/>
      <c r="AC94" s="26"/>
    </row>
    <row r="95" spans="1:30" ht="16" thickBot="1" x14ac:dyDescent="0.25">
      <c r="A95" s="13" t="s">
        <v>39</v>
      </c>
      <c r="B95" s="181"/>
      <c r="C95" s="182"/>
      <c r="D95" s="181"/>
      <c r="E95" s="182"/>
      <c r="F95" s="181"/>
      <c r="G95" s="182"/>
      <c r="H95" s="181"/>
      <c r="I95" s="182"/>
      <c r="J95" s="14"/>
      <c r="K95" s="14"/>
      <c r="L95" s="181"/>
      <c r="M95" s="182"/>
      <c r="N95" s="14"/>
      <c r="O95" s="14"/>
      <c r="P95" s="181"/>
      <c r="Q95" s="228"/>
      <c r="R95" s="228"/>
      <c r="S95" s="228"/>
      <c r="T95" s="182"/>
      <c r="U95" s="181"/>
      <c r="V95" s="182"/>
      <c r="W95" s="14"/>
      <c r="Y95" s="13" t="s">
        <v>40</v>
      </c>
      <c r="Z95" s="23"/>
      <c r="AA95" s="24"/>
      <c r="AB95" s="25"/>
      <c r="AC95" s="26"/>
    </row>
    <row r="96" spans="1:30" ht="16" thickBot="1" x14ac:dyDescent="0.25">
      <c r="A96" s="13" t="s">
        <v>40</v>
      </c>
      <c r="B96" s="181"/>
      <c r="C96" s="182"/>
      <c r="D96" s="181"/>
      <c r="E96" s="182"/>
      <c r="F96" s="181"/>
      <c r="G96" s="182"/>
      <c r="H96" s="181"/>
      <c r="I96" s="182"/>
      <c r="J96" s="14"/>
      <c r="K96" s="14"/>
      <c r="L96" s="181"/>
      <c r="M96" s="182"/>
      <c r="N96" s="14"/>
      <c r="O96" s="14"/>
      <c r="P96" s="181"/>
      <c r="Q96" s="228"/>
      <c r="R96" s="228"/>
      <c r="S96" s="228"/>
      <c r="T96" s="182"/>
      <c r="U96" s="181"/>
      <c r="V96" s="182"/>
      <c r="W96" s="14"/>
      <c r="Y96" s="13" t="s">
        <v>28</v>
      </c>
      <c r="Z96" s="23"/>
      <c r="AA96" s="24"/>
      <c r="AB96" s="25"/>
      <c r="AC96" s="26"/>
    </row>
    <row r="97" spans="1:30" ht="16" thickBot="1" x14ac:dyDescent="0.25">
      <c r="A97" s="13" t="s">
        <v>28</v>
      </c>
      <c r="B97" s="181"/>
      <c r="C97" s="182"/>
      <c r="D97" s="181"/>
      <c r="E97" s="182"/>
      <c r="F97" s="181"/>
      <c r="G97" s="182"/>
      <c r="H97" s="181"/>
      <c r="I97" s="182"/>
      <c r="J97" s="14"/>
      <c r="K97" s="14"/>
      <c r="L97" s="181"/>
      <c r="M97" s="182"/>
      <c r="N97" s="14"/>
      <c r="O97" s="14"/>
      <c r="P97" s="181"/>
      <c r="Q97" s="228"/>
      <c r="R97" s="228"/>
      <c r="S97" s="228"/>
      <c r="T97" s="182"/>
      <c r="U97" s="181"/>
      <c r="V97" s="182"/>
      <c r="W97" s="14"/>
      <c r="Y97" s="13" t="s">
        <v>36</v>
      </c>
      <c r="Z97" s="23"/>
      <c r="AA97" s="24"/>
      <c r="AB97" s="25"/>
      <c r="AC97" s="26"/>
    </row>
    <row r="98" spans="1:30" ht="16" thickBot="1" x14ac:dyDescent="0.25">
      <c r="A98" s="13" t="s">
        <v>31</v>
      </c>
      <c r="B98" s="181"/>
      <c r="C98" s="182"/>
      <c r="D98" s="181"/>
      <c r="E98" s="182"/>
      <c r="F98" s="181"/>
      <c r="G98" s="182"/>
      <c r="H98" s="181"/>
      <c r="I98" s="182"/>
      <c r="J98" s="14"/>
      <c r="K98" s="14"/>
      <c r="L98" s="181"/>
      <c r="M98" s="182"/>
      <c r="N98" s="14"/>
      <c r="O98" s="14"/>
      <c r="P98" s="181"/>
      <c r="Q98" s="228"/>
      <c r="R98" s="228"/>
      <c r="S98" s="228"/>
      <c r="T98" s="182"/>
      <c r="U98" s="181"/>
      <c r="V98" s="182"/>
      <c r="W98" s="14"/>
      <c r="Y98" s="13" t="s">
        <v>26</v>
      </c>
      <c r="Z98" s="23"/>
      <c r="AA98" s="24"/>
      <c r="AB98" s="25"/>
      <c r="AC98" s="26"/>
    </row>
    <row r="99" spans="1:30" ht="16" thickBot="1" x14ac:dyDescent="0.25">
      <c r="A99" s="13" t="s">
        <v>36</v>
      </c>
      <c r="B99" s="181"/>
      <c r="C99" s="182"/>
      <c r="D99" s="181"/>
      <c r="E99" s="182"/>
      <c r="F99" s="181"/>
      <c r="G99" s="182"/>
      <c r="H99" s="181"/>
      <c r="I99" s="182"/>
      <c r="J99" s="14"/>
      <c r="K99" s="14"/>
      <c r="L99" s="181"/>
      <c r="M99" s="182"/>
      <c r="N99" s="14"/>
      <c r="O99" s="14"/>
      <c r="P99" s="181"/>
      <c r="Q99" s="228"/>
      <c r="R99" s="228"/>
      <c r="S99" s="228"/>
      <c r="T99" s="182"/>
      <c r="U99" s="181"/>
      <c r="V99" s="182"/>
      <c r="W99" s="14"/>
      <c r="Y99" s="13" t="s">
        <v>35</v>
      </c>
      <c r="Z99" s="23"/>
      <c r="AA99" s="24"/>
      <c r="AB99" s="25"/>
      <c r="AC99" s="26"/>
    </row>
    <row r="100" spans="1:30" ht="16" thickBot="1" x14ac:dyDescent="0.25">
      <c r="A100" s="13" t="s">
        <v>26</v>
      </c>
      <c r="B100" s="181"/>
      <c r="C100" s="182"/>
      <c r="D100" s="181"/>
      <c r="E100" s="182"/>
      <c r="F100" s="181"/>
      <c r="G100" s="182"/>
      <c r="H100" s="181"/>
      <c r="I100" s="182"/>
      <c r="J100" s="14"/>
      <c r="K100" s="14"/>
      <c r="L100" s="181"/>
      <c r="M100" s="182"/>
      <c r="N100" s="14"/>
      <c r="O100" s="14"/>
      <c r="P100" s="181"/>
      <c r="Q100" s="228"/>
      <c r="R100" s="228"/>
      <c r="S100" s="228"/>
      <c r="T100" s="182"/>
      <c r="U100" s="181"/>
      <c r="V100" s="182"/>
      <c r="W100" s="14"/>
      <c r="Y100" s="13" t="s">
        <v>37</v>
      </c>
      <c r="Z100" s="27"/>
      <c r="AA100" s="28"/>
      <c r="AB100" s="29"/>
      <c r="AC100" s="30"/>
    </row>
    <row r="101" spans="1:30" ht="16" thickBot="1" x14ac:dyDescent="0.25">
      <c r="A101" s="13" t="s">
        <v>30</v>
      </c>
      <c r="B101" s="181"/>
      <c r="C101" s="182"/>
      <c r="D101" s="181"/>
      <c r="E101" s="182"/>
      <c r="F101" s="181"/>
      <c r="G101" s="182"/>
      <c r="H101" s="181"/>
      <c r="I101" s="182"/>
      <c r="J101" s="14"/>
      <c r="K101" s="14"/>
      <c r="L101" s="181"/>
      <c r="M101" s="182"/>
      <c r="N101" s="14"/>
      <c r="O101" s="14"/>
      <c r="P101" s="181"/>
      <c r="Q101" s="228"/>
      <c r="R101" s="228"/>
      <c r="S101" s="228"/>
      <c r="T101" s="182"/>
      <c r="U101" s="181"/>
      <c r="V101" s="182"/>
      <c r="W101" s="14"/>
      <c r="Y101" s="34" t="s">
        <v>71</v>
      </c>
      <c r="Z101" s="27"/>
      <c r="AA101" s="28"/>
      <c r="AB101" s="29"/>
      <c r="AC101" s="30"/>
    </row>
    <row r="102" spans="1:30" x14ac:dyDescent="0.2">
      <c r="A102" s="13" t="s">
        <v>35</v>
      </c>
      <c r="B102" s="181"/>
      <c r="C102" s="182"/>
      <c r="D102" s="181"/>
      <c r="E102" s="182"/>
      <c r="F102" s="181"/>
      <c r="G102" s="182"/>
      <c r="H102" s="181"/>
      <c r="I102" s="182"/>
      <c r="J102" s="14"/>
      <c r="K102" s="14"/>
      <c r="L102" s="181"/>
      <c r="M102" s="182"/>
      <c r="N102" s="14"/>
      <c r="O102" s="14"/>
      <c r="P102" s="181"/>
      <c r="Q102" s="228"/>
      <c r="R102" s="228"/>
      <c r="S102" s="228"/>
      <c r="T102" s="182"/>
      <c r="U102" s="181"/>
      <c r="V102" s="182"/>
      <c r="W102" s="14"/>
    </row>
    <row r="103" spans="1:30" x14ac:dyDescent="0.2">
      <c r="A103" s="13" t="s">
        <v>41</v>
      </c>
      <c r="B103" s="181"/>
      <c r="C103" s="182"/>
      <c r="D103" s="181"/>
      <c r="E103" s="182"/>
      <c r="F103" s="181"/>
      <c r="G103" s="182"/>
      <c r="H103" s="181"/>
      <c r="I103" s="182"/>
      <c r="J103" s="14"/>
      <c r="K103" s="14"/>
      <c r="L103" s="181"/>
      <c r="M103" s="182"/>
      <c r="N103" s="14"/>
      <c r="O103" s="14"/>
      <c r="P103" s="181"/>
      <c r="Q103" s="228"/>
      <c r="R103" s="228"/>
      <c r="S103" s="228"/>
      <c r="T103" s="182"/>
      <c r="U103" s="181"/>
      <c r="V103" s="182"/>
      <c r="W103" s="14"/>
    </row>
    <row r="104" spans="1:30" x14ac:dyDescent="0.2">
      <c r="A104" s="13" t="s">
        <v>37</v>
      </c>
      <c r="B104" s="181"/>
      <c r="C104" s="182"/>
      <c r="D104" s="181"/>
      <c r="E104" s="182"/>
      <c r="F104" s="181"/>
      <c r="G104" s="182"/>
      <c r="H104" s="181"/>
      <c r="I104" s="182"/>
      <c r="J104" s="14"/>
      <c r="K104" s="14"/>
      <c r="L104" s="181"/>
      <c r="M104" s="182"/>
      <c r="N104" s="14"/>
      <c r="O104" s="14"/>
      <c r="P104" s="181"/>
      <c r="Q104" s="228"/>
      <c r="R104" s="228"/>
      <c r="S104" s="228"/>
      <c r="T104" s="182"/>
      <c r="U104" s="181"/>
      <c r="V104" s="182"/>
      <c r="W104" s="14"/>
    </row>
    <row r="106" spans="1:30" ht="14.25" customHeight="1" x14ac:dyDescent="0.2">
      <c r="A106" s="229" t="s">
        <v>65</v>
      </c>
      <c r="B106" s="229"/>
      <c r="C106" s="229"/>
      <c r="D106" s="229"/>
      <c r="E106" s="229"/>
      <c r="F106" s="229"/>
      <c r="G106" s="229"/>
      <c r="H106" s="229"/>
      <c r="I106" s="229"/>
      <c r="J106" s="229"/>
      <c r="K106" s="229"/>
      <c r="L106" s="229"/>
      <c r="M106" s="229"/>
      <c r="N106" s="229"/>
      <c r="O106" s="229"/>
      <c r="P106" s="229"/>
      <c r="Q106" s="229"/>
      <c r="R106" s="229"/>
      <c r="S106" s="229"/>
      <c r="T106" s="229"/>
      <c r="U106" s="229"/>
      <c r="V106" s="229"/>
      <c r="W106" s="229"/>
      <c r="X106" s="229"/>
      <c r="Y106" s="229"/>
      <c r="Z106" s="229"/>
      <c r="AA106" s="229"/>
      <c r="AB106" s="229"/>
      <c r="AC106" s="229"/>
      <c r="AD106" s="229"/>
    </row>
    <row r="107" spans="1:30" ht="14.75" customHeight="1" thickBot="1" x14ac:dyDescent="0.25">
      <c r="A107" s="229"/>
      <c r="B107" s="229"/>
      <c r="C107" s="229"/>
      <c r="D107" s="229"/>
      <c r="E107" s="229"/>
      <c r="F107" s="229"/>
      <c r="G107" s="229"/>
      <c r="H107" s="229"/>
      <c r="I107" s="229"/>
      <c r="J107" s="229"/>
      <c r="K107" s="229"/>
      <c r="L107" s="229"/>
      <c r="M107" s="229"/>
      <c r="N107" s="229"/>
      <c r="O107" s="229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</row>
    <row r="108" spans="1:30" ht="16" thickBot="1" x14ac:dyDescent="0.25">
      <c r="B108" s="142" t="s">
        <v>44</v>
      </c>
      <c r="C108" s="143"/>
      <c r="D108" s="142" t="s">
        <v>2</v>
      </c>
      <c r="E108" s="143"/>
      <c r="F108" s="142" t="s">
        <v>3</v>
      </c>
      <c r="G108" s="143"/>
      <c r="H108" s="142" t="s">
        <v>4</v>
      </c>
      <c r="I108" s="143"/>
      <c r="J108" s="150" t="s">
        <v>5</v>
      </c>
      <c r="K108" s="150" t="s">
        <v>6</v>
      </c>
      <c r="L108" s="158" t="s">
        <v>7</v>
      </c>
      <c r="M108" s="159"/>
      <c r="N108" s="150" t="s">
        <v>8</v>
      </c>
      <c r="O108" s="150" t="s">
        <v>9</v>
      </c>
      <c r="P108" s="142" t="s">
        <v>45</v>
      </c>
      <c r="Q108" s="156"/>
      <c r="R108" s="156"/>
      <c r="S108" s="156"/>
      <c r="T108" s="143"/>
      <c r="U108" s="138" t="s">
        <v>13</v>
      </c>
      <c r="V108" s="139"/>
      <c r="W108" s="15" t="s">
        <v>14</v>
      </c>
      <c r="Z108" s="130" t="s">
        <v>58</v>
      </c>
      <c r="AA108" s="131"/>
      <c r="AB108" s="131"/>
      <c r="AC108" s="132"/>
    </row>
    <row r="109" spans="1:30" ht="16" thickBot="1" x14ac:dyDescent="0.25">
      <c r="B109" s="230"/>
      <c r="C109" s="231"/>
      <c r="D109" s="230"/>
      <c r="E109" s="231"/>
      <c r="F109" s="230"/>
      <c r="G109" s="231"/>
      <c r="H109" s="230"/>
      <c r="I109" s="231"/>
      <c r="J109" s="232"/>
      <c r="K109" s="232"/>
      <c r="L109" s="233"/>
      <c r="M109" s="234"/>
      <c r="N109" s="232"/>
      <c r="O109" s="232"/>
      <c r="P109" s="230"/>
      <c r="Q109" s="235"/>
      <c r="R109" s="235"/>
      <c r="S109" s="235"/>
      <c r="T109" s="231"/>
      <c r="U109" s="236"/>
      <c r="V109" s="237"/>
      <c r="W109" s="18" t="s">
        <v>17</v>
      </c>
      <c r="Z109" s="238" t="s">
        <v>59</v>
      </c>
      <c r="AA109" s="239"/>
      <c r="AB109" s="240" t="s">
        <v>60</v>
      </c>
      <c r="AC109" s="136"/>
    </row>
    <row r="110" spans="1:30" ht="16" thickBot="1" x14ac:dyDescent="0.25">
      <c r="A110" s="13" t="s">
        <v>34</v>
      </c>
      <c r="B110" s="181"/>
      <c r="C110" s="182"/>
      <c r="D110" s="181"/>
      <c r="E110" s="182"/>
      <c r="F110" s="181"/>
      <c r="G110" s="182"/>
      <c r="H110" s="181"/>
      <c r="I110" s="182"/>
      <c r="J110" s="14"/>
      <c r="K110" s="14"/>
      <c r="L110" s="181"/>
      <c r="M110" s="182"/>
      <c r="N110" s="14"/>
      <c r="O110" s="14"/>
      <c r="P110" s="181"/>
      <c r="Q110" s="228"/>
      <c r="R110" s="228"/>
      <c r="S110" s="228"/>
      <c r="T110" s="182"/>
      <c r="U110" s="181"/>
      <c r="V110" s="182"/>
      <c r="W110" s="14"/>
      <c r="Y110" s="31" t="s">
        <v>32</v>
      </c>
      <c r="Z110" s="23"/>
      <c r="AA110" s="24"/>
      <c r="AB110" s="32"/>
      <c r="AC110" s="33"/>
    </row>
    <row r="111" spans="1:30" ht="16" thickBot="1" x14ac:dyDescent="0.25">
      <c r="A111" s="13" t="s">
        <v>32</v>
      </c>
      <c r="B111" s="181"/>
      <c r="C111" s="182"/>
      <c r="D111" s="181"/>
      <c r="E111" s="182"/>
      <c r="F111" s="181"/>
      <c r="G111" s="182"/>
      <c r="H111" s="181"/>
      <c r="I111" s="182"/>
      <c r="J111" s="14"/>
      <c r="K111" s="14"/>
      <c r="L111" s="181"/>
      <c r="M111" s="182"/>
      <c r="N111" s="14"/>
      <c r="O111" s="14"/>
      <c r="P111" s="181"/>
      <c r="Q111" s="228"/>
      <c r="R111" s="228"/>
      <c r="S111" s="228"/>
      <c r="T111" s="182"/>
      <c r="U111" s="181"/>
      <c r="V111" s="182"/>
      <c r="W111" s="14"/>
      <c r="Y111" s="13" t="s">
        <v>34</v>
      </c>
      <c r="Z111" s="23"/>
      <c r="AA111" s="24"/>
      <c r="AB111" s="29"/>
      <c r="AC111" s="30"/>
    </row>
    <row r="112" spans="1:30" ht="16" thickBot="1" x14ac:dyDescent="0.25">
      <c r="A112" s="13" t="s">
        <v>33</v>
      </c>
      <c r="B112" s="181"/>
      <c r="C112" s="182"/>
      <c r="D112" s="181"/>
      <c r="E112" s="182"/>
      <c r="F112" s="181"/>
      <c r="G112" s="182"/>
      <c r="H112" s="181"/>
      <c r="I112" s="182"/>
      <c r="J112" s="14"/>
      <c r="K112" s="14"/>
      <c r="L112" s="181"/>
      <c r="M112" s="182"/>
      <c r="N112" s="14"/>
      <c r="O112" s="14"/>
      <c r="P112" s="181"/>
      <c r="Q112" s="228"/>
      <c r="R112" s="228"/>
      <c r="S112" s="228"/>
      <c r="T112" s="182"/>
      <c r="U112" s="181"/>
      <c r="V112" s="182"/>
      <c r="W112" s="14"/>
      <c r="Y112" s="13" t="s">
        <v>38</v>
      </c>
      <c r="Z112" s="23"/>
      <c r="AA112" s="24"/>
      <c r="AB112" s="25"/>
      <c r="AC112" s="26"/>
    </row>
    <row r="113" spans="1:30" ht="16" thickBot="1" x14ac:dyDescent="0.25">
      <c r="A113" s="13" t="s">
        <v>38</v>
      </c>
      <c r="B113" s="181"/>
      <c r="C113" s="182"/>
      <c r="D113" s="181"/>
      <c r="E113" s="182"/>
      <c r="F113" s="181"/>
      <c r="G113" s="182"/>
      <c r="H113" s="181"/>
      <c r="I113" s="182"/>
      <c r="J113" s="14"/>
      <c r="K113" s="14"/>
      <c r="L113" s="181"/>
      <c r="M113" s="182"/>
      <c r="N113" s="14"/>
      <c r="O113" s="14"/>
      <c r="P113" s="181"/>
      <c r="Q113" s="228"/>
      <c r="R113" s="228"/>
      <c r="S113" s="228"/>
      <c r="T113" s="182"/>
      <c r="U113" s="181"/>
      <c r="V113" s="182"/>
      <c r="W113" s="14"/>
      <c r="Y113" s="13" t="s">
        <v>27</v>
      </c>
      <c r="Z113" s="23"/>
      <c r="AA113" s="24"/>
      <c r="AB113" s="25"/>
      <c r="AC113" s="26"/>
    </row>
    <row r="114" spans="1:30" ht="16" thickBot="1" x14ac:dyDescent="0.25">
      <c r="A114" s="13" t="s">
        <v>27</v>
      </c>
      <c r="B114" s="181"/>
      <c r="C114" s="182"/>
      <c r="D114" s="181"/>
      <c r="E114" s="182"/>
      <c r="F114" s="181"/>
      <c r="G114" s="182"/>
      <c r="H114" s="181"/>
      <c r="I114" s="182"/>
      <c r="J114" s="14"/>
      <c r="K114" s="14"/>
      <c r="L114" s="181"/>
      <c r="M114" s="182"/>
      <c r="N114" s="14"/>
      <c r="O114" s="14"/>
      <c r="P114" s="181"/>
      <c r="Q114" s="228"/>
      <c r="R114" s="228"/>
      <c r="S114" s="228"/>
      <c r="T114" s="182"/>
      <c r="U114" s="181"/>
      <c r="V114" s="182"/>
      <c r="W114" s="14"/>
      <c r="Y114" s="13" t="s">
        <v>25</v>
      </c>
      <c r="Z114" s="23"/>
      <c r="AA114" s="24"/>
      <c r="AB114" s="25"/>
      <c r="AC114" s="26"/>
    </row>
    <row r="115" spans="1:30" ht="16" thickBot="1" x14ac:dyDescent="0.25">
      <c r="A115" s="13" t="s">
        <v>25</v>
      </c>
      <c r="B115" s="181"/>
      <c r="C115" s="182"/>
      <c r="D115" s="181"/>
      <c r="E115" s="182"/>
      <c r="F115" s="181"/>
      <c r="G115" s="182"/>
      <c r="H115" s="181"/>
      <c r="I115" s="182"/>
      <c r="J115" s="14"/>
      <c r="K115" s="14"/>
      <c r="L115" s="181"/>
      <c r="M115" s="182"/>
      <c r="N115" s="14"/>
      <c r="O115" s="14"/>
      <c r="P115" s="181"/>
      <c r="Q115" s="228"/>
      <c r="R115" s="228"/>
      <c r="S115" s="228"/>
      <c r="T115" s="182"/>
      <c r="U115" s="181"/>
      <c r="V115" s="182"/>
      <c r="W115" s="14"/>
      <c r="Y115" s="13" t="s">
        <v>39</v>
      </c>
      <c r="Z115" s="23"/>
      <c r="AA115" s="24"/>
      <c r="AB115" s="25"/>
      <c r="AC115" s="26"/>
    </row>
    <row r="116" spans="1:30" ht="16" thickBot="1" x14ac:dyDescent="0.25">
      <c r="A116" s="13" t="s">
        <v>39</v>
      </c>
      <c r="B116" s="181"/>
      <c r="C116" s="182"/>
      <c r="D116" s="181"/>
      <c r="E116" s="182"/>
      <c r="F116" s="181"/>
      <c r="G116" s="182"/>
      <c r="H116" s="181"/>
      <c r="I116" s="182"/>
      <c r="J116" s="14"/>
      <c r="K116" s="14"/>
      <c r="L116" s="181"/>
      <c r="M116" s="182"/>
      <c r="N116" s="14"/>
      <c r="O116" s="14"/>
      <c r="P116" s="181"/>
      <c r="Q116" s="228"/>
      <c r="R116" s="228"/>
      <c r="S116" s="228"/>
      <c r="T116" s="182"/>
      <c r="U116" s="181"/>
      <c r="V116" s="182"/>
      <c r="W116" s="14"/>
      <c r="Y116" s="13" t="s">
        <v>40</v>
      </c>
      <c r="Z116" s="23"/>
      <c r="AA116" s="24"/>
      <c r="AB116" s="25"/>
      <c r="AC116" s="26"/>
    </row>
    <row r="117" spans="1:30" ht="16" thickBot="1" x14ac:dyDescent="0.25">
      <c r="A117" s="13" t="s">
        <v>40</v>
      </c>
      <c r="B117" s="181"/>
      <c r="C117" s="182"/>
      <c r="D117" s="181"/>
      <c r="E117" s="182"/>
      <c r="F117" s="181"/>
      <c r="G117" s="182"/>
      <c r="H117" s="181"/>
      <c r="I117" s="182"/>
      <c r="J117" s="14"/>
      <c r="K117" s="14"/>
      <c r="L117" s="181"/>
      <c r="M117" s="182"/>
      <c r="N117" s="14"/>
      <c r="O117" s="14"/>
      <c r="P117" s="181"/>
      <c r="Q117" s="228"/>
      <c r="R117" s="228"/>
      <c r="S117" s="228"/>
      <c r="T117" s="182"/>
      <c r="U117" s="181"/>
      <c r="V117" s="182"/>
      <c r="W117" s="14"/>
      <c r="Y117" s="13" t="s">
        <v>28</v>
      </c>
      <c r="Z117" s="23"/>
      <c r="AA117" s="24"/>
      <c r="AB117" s="25"/>
      <c r="AC117" s="26"/>
    </row>
    <row r="118" spans="1:30" ht="16" thickBot="1" x14ac:dyDescent="0.25">
      <c r="A118" s="13" t="s">
        <v>28</v>
      </c>
      <c r="B118" s="181"/>
      <c r="C118" s="182"/>
      <c r="D118" s="181"/>
      <c r="E118" s="182"/>
      <c r="F118" s="181"/>
      <c r="G118" s="182"/>
      <c r="H118" s="181"/>
      <c r="I118" s="182"/>
      <c r="J118" s="14"/>
      <c r="K118" s="14"/>
      <c r="L118" s="181"/>
      <c r="M118" s="182"/>
      <c r="N118" s="14"/>
      <c r="O118" s="14"/>
      <c r="P118" s="181"/>
      <c r="Q118" s="228"/>
      <c r="R118" s="228"/>
      <c r="S118" s="228"/>
      <c r="T118" s="182"/>
      <c r="U118" s="181"/>
      <c r="V118" s="182"/>
      <c r="W118" s="14"/>
      <c r="Y118" s="13" t="s">
        <v>36</v>
      </c>
      <c r="Z118" s="23"/>
      <c r="AA118" s="24"/>
      <c r="AB118" s="25"/>
      <c r="AC118" s="26"/>
    </row>
    <row r="119" spans="1:30" ht="16" thickBot="1" x14ac:dyDescent="0.25">
      <c r="A119" s="13" t="s">
        <v>31</v>
      </c>
      <c r="B119" s="181"/>
      <c r="C119" s="182"/>
      <c r="D119" s="181"/>
      <c r="E119" s="182"/>
      <c r="F119" s="181"/>
      <c r="G119" s="182"/>
      <c r="H119" s="181"/>
      <c r="I119" s="182"/>
      <c r="J119" s="14"/>
      <c r="K119" s="14"/>
      <c r="L119" s="181"/>
      <c r="M119" s="182"/>
      <c r="N119" s="14"/>
      <c r="O119" s="14"/>
      <c r="P119" s="181"/>
      <c r="Q119" s="228"/>
      <c r="R119" s="228"/>
      <c r="S119" s="228"/>
      <c r="T119" s="182"/>
      <c r="U119" s="181"/>
      <c r="V119" s="182"/>
      <c r="W119" s="14"/>
      <c r="Y119" s="13" t="s">
        <v>26</v>
      </c>
      <c r="Z119" s="23"/>
      <c r="AA119" s="24"/>
      <c r="AB119" s="25"/>
      <c r="AC119" s="26"/>
    </row>
    <row r="120" spans="1:30" ht="16" thickBot="1" x14ac:dyDescent="0.25">
      <c r="A120" s="13" t="s">
        <v>36</v>
      </c>
      <c r="B120" s="181"/>
      <c r="C120" s="182"/>
      <c r="D120" s="181"/>
      <c r="E120" s="182"/>
      <c r="F120" s="181"/>
      <c r="G120" s="182"/>
      <c r="H120" s="181"/>
      <c r="I120" s="182"/>
      <c r="J120" s="14"/>
      <c r="K120" s="14"/>
      <c r="L120" s="181"/>
      <c r="M120" s="182"/>
      <c r="N120" s="14"/>
      <c r="O120" s="14"/>
      <c r="P120" s="181"/>
      <c r="Q120" s="228"/>
      <c r="R120" s="228"/>
      <c r="S120" s="228"/>
      <c r="T120" s="182"/>
      <c r="U120" s="181"/>
      <c r="V120" s="182"/>
      <c r="W120" s="14"/>
      <c r="Y120" s="13" t="s">
        <v>35</v>
      </c>
      <c r="Z120" s="23"/>
      <c r="AA120" s="24"/>
      <c r="AB120" s="25"/>
      <c r="AC120" s="26"/>
    </row>
    <row r="121" spans="1:30" ht="16" thickBot="1" x14ac:dyDescent="0.25">
      <c r="A121" s="13" t="s">
        <v>26</v>
      </c>
      <c r="B121" s="181"/>
      <c r="C121" s="182"/>
      <c r="D121" s="181"/>
      <c r="E121" s="182"/>
      <c r="F121" s="181"/>
      <c r="G121" s="182"/>
      <c r="H121" s="181"/>
      <c r="I121" s="182"/>
      <c r="J121" s="14"/>
      <c r="K121" s="14"/>
      <c r="L121" s="181"/>
      <c r="M121" s="182"/>
      <c r="N121" s="14"/>
      <c r="O121" s="14"/>
      <c r="P121" s="181"/>
      <c r="Q121" s="228"/>
      <c r="R121" s="228"/>
      <c r="S121" s="228"/>
      <c r="T121" s="182"/>
      <c r="U121" s="181"/>
      <c r="V121" s="182"/>
      <c r="W121" s="14"/>
      <c r="Y121" s="13" t="s">
        <v>37</v>
      </c>
      <c r="Z121" s="27"/>
      <c r="AA121" s="28"/>
      <c r="AB121" s="29"/>
      <c r="AC121" s="30"/>
    </row>
    <row r="122" spans="1:30" ht="16" thickBot="1" x14ac:dyDescent="0.25">
      <c r="A122" s="13" t="s">
        <v>30</v>
      </c>
      <c r="B122" s="181"/>
      <c r="C122" s="182"/>
      <c r="D122" s="181"/>
      <c r="E122" s="182"/>
      <c r="F122" s="181"/>
      <c r="G122" s="182"/>
      <c r="H122" s="181"/>
      <c r="I122" s="182"/>
      <c r="J122" s="14"/>
      <c r="K122" s="14"/>
      <c r="L122" s="181"/>
      <c r="M122" s="182"/>
      <c r="N122" s="14"/>
      <c r="O122" s="14"/>
      <c r="P122" s="181"/>
      <c r="Q122" s="228"/>
      <c r="R122" s="228"/>
      <c r="S122" s="228"/>
      <c r="T122" s="182"/>
      <c r="U122" s="181"/>
      <c r="V122" s="182"/>
      <c r="W122" s="14"/>
      <c r="Y122" s="34" t="s">
        <v>71</v>
      </c>
      <c r="Z122" s="27"/>
      <c r="AA122" s="28"/>
      <c r="AB122" s="29"/>
      <c r="AC122" s="30"/>
    </row>
    <row r="123" spans="1:30" x14ac:dyDescent="0.2">
      <c r="A123" s="13" t="s">
        <v>35</v>
      </c>
      <c r="B123" s="181"/>
      <c r="C123" s="182"/>
      <c r="D123" s="181"/>
      <c r="E123" s="182"/>
      <c r="F123" s="181"/>
      <c r="G123" s="182"/>
      <c r="H123" s="181"/>
      <c r="I123" s="182"/>
      <c r="J123" s="14"/>
      <c r="K123" s="14"/>
      <c r="L123" s="181"/>
      <c r="M123" s="182"/>
      <c r="N123" s="14"/>
      <c r="O123" s="14"/>
      <c r="P123" s="181"/>
      <c r="Q123" s="228"/>
      <c r="R123" s="228"/>
      <c r="S123" s="228"/>
      <c r="T123" s="182"/>
      <c r="U123" s="181"/>
      <c r="V123" s="182"/>
      <c r="W123" s="14"/>
    </row>
    <row r="124" spans="1:30" x14ac:dyDescent="0.2">
      <c r="A124" s="13" t="s">
        <v>41</v>
      </c>
      <c r="B124" s="181"/>
      <c r="C124" s="182"/>
      <c r="D124" s="181"/>
      <c r="E124" s="182"/>
      <c r="F124" s="181"/>
      <c r="G124" s="182"/>
      <c r="H124" s="181"/>
      <c r="I124" s="182"/>
      <c r="J124" s="14"/>
      <c r="K124" s="14"/>
      <c r="L124" s="181"/>
      <c r="M124" s="182"/>
      <c r="N124" s="14"/>
      <c r="O124" s="14"/>
      <c r="P124" s="181"/>
      <c r="Q124" s="228"/>
      <c r="R124" s="228"/>
      <c r="S124" s="228"/>
      <c r="T124" s="182"/>
      <c r="U124" s="181"/>
      <c r="V124" s="182"/>
      <c r="W124" s="14"/>
    </row>
    <row r="125" spans="1:30" x14ac:dyDescent="0.2">
      <c r="A125" s="13" t="s">
        <v>37</v>
      </c>
      <c r="B125" s="181"/>
      <c r="C125" s="182"/>
      <c r="D125" s="181"/>
      <c r="E125" s="182"/>
      <c r="F125" s="181"/>
      <c r="G125" s="182"/>
      <c r="H125" s="181"/>
      <c r="I125" s="182"/>
      <c r="J125" s="14"/>
      <c r="K125" s="14"/>
      <c r="L125" s="181"/>
      <c r="M125" s="182"/>
      <c r="N125" s="14"/>
      <c r="O125" s="14"/>
      <c r="P125" s="181"/>
      <c r="Q125" s="228"/>
      <c r="R125" s="228"/>
      <c r="S125" s="228"/>
      <c r="T125" s="182"/>
      <c r="U125" s="181"/>
      <c r="V125" s="182"/>
      <c r="W125" s="14"/>
    </row>
    <row r="127" spans="1:30" ht="14.25" customHeight="1" x14ac:dyDescent="0.2">
      <c r="A127" s="229" t="s">
        <v>66</v>
      </c>
      <c r="B127" s="229"/>
      <c r="C127" s="229"/>
      <c r="D127" s="229"/>
      <c r="E127" s="229"/>
      <c r="F127" s="229"/>
      <c r="G127" s="229"/>
      <c r="H127" s="229"/>
      <c r="I127" s="229"/>
      <c r="J127" s="229"/>
      <c r="K127" s="229"/>
      <c r="L127" s="229"/>
      <c r="M127" s="229"/>
      <c r="N127" s="229"/>
      <c r="O127" s="229"/>
      <c r="P127" s="229"/>
      <c r="Q127" s="229"/>
      <c r="R127" s="229"/>
      <c r="S127" s="229"/>
      <c r="T127" s="229"/>
      <c r="U127" s="229"/>
      <c r="V127" s="229"/>
      <c r="W127" s="229"/>
      <c r="X127" s="229"/>
      <c r="Y127" s="229"/>
      <c r="Z127" s="229"/>
      <c r="AA127" s="229"/>
      <c r="AB127" s="229"/>
      <c r="AC127" s="229"/>
      <c r="AD127" s="229"/>
    </row>
    <row r="128" spans="1:30" ht="14.75" customHeight="1" thickBot="1" x14ac:dyDescent="0.25">
      <c r="A128" s="229"/>
      <c r="B128" s="229"/>
      <c r="C128" s="229"/>
      <c r="D128" s="229"/>
      <c r="E128" s="229"/>
      <c r="F128" s="229"/>
      <c r="G128" s="229"/>
      <c r="H128" s="229"/>
      <c r="I128" s="229"/>
      <c r="J128" s="229"/>
      <c r="K128" s="229"/>
      <c r="L128" s="229"/>
      <c r="M128" s="229"/>
      <c r="N128" s="229"/>
      <c r="O128" s="229"/>
      <c r="P128" s="229"/>
      <c r="Q128" s="229"/>
      <c r="R128" s="229"/>
      <c r="S128" s="229"/>
      <c r="T128" s="229"/>
      <c r="U128" s="229"/>
      <c r="V128" s="229"/>
      <c r="W128" s="229"/>
      <c r="X128" s="229"/>
      <c r="Y128" s="229"/>
      <c r="Z128" s="229"/>
      <c r="AA128" s="229"/>
      <c r="AB128" s="229"/>
      <c r="AC128" s="229"/>
      <c r="AD128" s="229"/>
    </row>
    <row r="129" spans="1:29" ht="16" thickBot="1" x14ac:dyDescent="0.25">
      <c r="B129" s="142" t="s">
        <v>44</v>
      </c>
      <c r="C129" s="143"/>
      <c r="D129" s="142" t="s">
        <v>2</v>
      </c>
      <c r="E129" s="143"/>
      <c r="F129" s="142" t="s">
        <v>3</v>
      </c>
      <c r="G129" s="143"/>
      <c r="H129" s="142" t="s">
        <v>4</v>
      </c>
      <c r="I129" s="143"/>
      <c r="J129" s="150" t="s">
        <v>5</v>
      </c>
      <c r="K129" s="150" t="s">
        <v>6</v>
      </c>
      <c r="L129" s="158" t="s">
        <v>7</v>
      </c>
      <c r="M129" s="159"/>
      <c r="N129" s="150" t="s">
        <v>8</v>
      </c>
      <c r="O129" s="150" t="s">
        <v>9</v>
      </c>
      <c r="P129" s="142" t="s">
        <v>45</v>
      </c>
      <c r="Q129" s="156"/>
      <c r="R129" s="156"/>
      <c r="S129" s="156"/>
      <c r="T129" s="143"/>
      <c r="U129" s="138" t="s">
        <v>13</v>
      </c>
      <c r="V129" s="139"/>
      <c r="W129" s="15" t="s">
        <v>14</v>
      </c>
      <c r="Z129" s="130" t="s">
        <v>58</v>
      </c>
      <c r="AA129" s="131"/>
      <c r="AB129" s="131"/>
      <c r="AC129" s="132"/>
    </row>
    <row r="130" spans="1:29" ht="16" thickBot="1" x14ac:dyDescent="0.25">
      <c r="B130" s="230"/>
      <c r="C130" s="231"/>
      <c r="D130" s="230"/>
      <c r="E130" s="231"/>
      <c r="F130" s="230"/>
      <c r="G130" s="231"/>
      <c r="H130" s="230"/>
      <c r="I130" s="231"/>
      <c r="J130" s="232"/>
      <c r="K130" s="232"/>
      <c r="L130" s="233"/>
      <c r="M130" s="234"/>
      <c r="N130" s="232"/>
      <c r="O130" s="232"/>
      <c r="P130" s="230"/>
      <c r="Q130" s="235"/>
      <c r="R130" s="235"/>
      <c r="S130" s="235"/>
      <c r="T130" s="231"/>
      <c r="U130" s="236"/>
      <c r="V130" s="237"/>
      <c r="W130" s="18" t="s">
        <v>17</v>
      </c>
      <c r="Z130" s="238" t="s">
        <v>59</v>
      </c>
      <c r="AA130" s="239"/>
      <c r="AB130" s="240" t="s">
        <v>60</v>
      </c>
      <c r="AC130" s="136"/>
    </row>
    <row r="131" spans="1:29" ht="16" thickBot="1" x14ac:dyDescent="0.25">
      <c r="A131" s="13" t="s">
        <v>34</v>
      </c>
      <c r="B131" s="181"/>
      <c r="C131" s="182"/>
      <c r="D131" s="181"/>
      <c r="E131" s="182"/>
      <c r="F131" s="181"/>
      <c r="G131" s="182"/>
      <c r="H131" s="181"/>
      <c r="I131" s="182"/>
      <c r="J131" s="14"/>
      <c r="K131" s="14"/>
      <c r="L131" s="181"/>
      <c r="M131" s="182"/>
      <c r="N131" s="14"/>
      <c r="O131" s="14"/>
      <c r="P131" s="181"/>
      <c r="Q131" s="228"/>
      <c r="R131" s="228"/>
      <c r="S131" s="228"/>
      <c r="T131" s="182"/>
      <c r="U131" s="181"/>
      <c r="V131" s="182"/>
      <c r="W131" s="14"/>
      <c r="Y131" s="31" t="s">
        <v>32</v>
      </c>
      <c r="Z131" s="23"/>
      <c r="AA131" s="24"/>
      <c r="AB131" s="32"/>
      <c r="AC131" s="33"/>
    </row>
    <row r="132" spans="1:29" ht="16" thickBot="1" x14ac:dyDescent="0.25">
      <c r="A132" s="13" t="s">
        <v>32</v>
      </c>
      <c r="B132" s="181"/>
      <c r="C132" s="182"/>
      <c r="D132" s="181"/>
      <c r="E132" s="182"/>
      <c r="F132" s="181"/>
      <c r="G132" s="182"/>
      <c r="H132" s="181"/>
      <c r="I132" s="182"/>
      <c r="J132" s="14"/>
      <c r="K132" s="14"/>
      <c r="L132" s="181"/>
      <c r="M132" s="182"/>
      <c r="N132" s="14"/>
      <c r="O132" s="14"/>
      <c r="P132" s="181"/>
      <c r="Q132" s="228"/>
      <c r="R132" s="228"/>
      <c r="S132" s="228"/>
      <c r="T132" s="182"/>
      <c r="U132" s="181"/>
      <c r="V132" s="182"/>
      <c r="W132" s="14"/>
      <c r="Y132" s="13" t="s">
        <v>34</v>
      </c>
      <c r="Z132" s="23"/>
      <c r="AA132" s="24"/>
      <c r="AB132" s="29"/>
      <c r="AC132" s="30"/>
    </row>
    <row r="133" spans="1:29" ht="16" thickBot="1" x14ac:dyDescent="0.25">
      <c r="A133" s="13" t="s">
        <v>33</v>
      </c>
      <c r="B133" s="181"/>
      <c r="C133" s="182"/>
      <c r="D133" s="181"/>
      <c r="E133" s="182"/>
      <c r="F133" s="181"/>
      <c r="G133" s="182"/>
      <c r="H133" s="181"/>
      <c r="I133" s="182"/>
      <c r="J133" s="14"/>
      <c r="K133" s="14"/>
      <c r="L133" s="181"/>
      <c r="M133" s="182"/>
      <c r="N133" s="14"/>
      <c r="O133" s="14"/>
      <c r="P133" s="181"/>
      <c r="Q133" s="228"/>
      <c r="R133" s="228"/>
      <c r="S133" s="228"/>
      <c r="T133" s="182"/>
      <c r="U133" s="181"/>
      <c r="V133" s="182"/>
      <c r="W133" s="14"/>
      <c r="Y133" s="13" t="s">
        <v>38</v>
      </c>
      <c r="Z133" s="23"/>
      <c r="AA133" s="24"/>
      <c r="AB133" s="25"/>
      <c r="AC133" s="26"/>
    </row>
    <row r="134" spans="1:29" ht="16" thickBot="1" x14ac:dyDescent="0.25">
      <c r="A134" s="13" t="s">
        <v>38</v>
      </c>
      <c r="B134" s="181"/>
      <c r="C134" s="182"/>
      <c r="D134" s="181"/>
      <c r="E134" s="182"/>
      <c r="F134" s="181"/>
      <c r="G134" s="182"/>
      <c r="H134" s="181"/>
      <c r="I134" s="182"/>
      <c r="J134" s="14"/>
      <c r="K134" s="14"/>
      <c r="L134" s="181"/>
      <c r="M134" s="182"/>
      <c r="N134" s="14"/>
      <c r="O134" s="14"/>
      <c r="P134" s="181"/>
      <c r="Q134" s="228"/>
      <c r="R134" s="228"/>
      <c r="S134" s="228"/>
      <c r="T134" s="182"/>
      <c r="U134" s="181"/>
      <c r="V134" s="182"/>
      <c r="W134" s="14"/>
      <c r="Y134" s="13" t="s">
        <v>27</v>
      </c>
      <c r="Z134" s="23"/>
      <c r="AA134" s="24"/>
      <c r="AB134" s="25"/>
      <c r="AC134" s="26"/>
    </row>
    <row r="135" spans="1:29" ht="16" thickBot="1" x14ac:dyDescent="0.25">
      <c r="A135" s="13" t="s">
        <v>27</v>
      </c>
      <c r="B135" s="181"/>
      <c r="C135" s="182"/>
      <c r="D135" s="181"/>
      <c r="E135" s="182"/>
      <c r="F135" s="181"/>
      <c r="G135" s="182"/>
      <c r="H135" s="181"/>
      <c r="I135" s="182"/>
      <c r="J135" s="14"/>
      <c r="K135" s="14"/>
      <c r="L135" s="181"/>
      <c r="M135" s="182"/>
      <c r="N135" s="14"/>
      <c r="O135" s="14"/>
      <c r="P135" s="181"/>
      <c r="Q135" s="228"/>
      <c r="R135" s="228"/>
      <c r="S135" s="228"/>
      <c r="T135" s="182"/>
      <c r="U135" s="181"/>
      <c r="V135" s="182"/>
      <c r="W135" s="14"/>
      <c r="Y135" s="13" t="s">
        <v>25</v>
      </c>
      <c r="Z135" s="23"/>
      <c r="AA135" s="24"/>
      <c r="AB135" s="25"/>
      <c r="AC135" s="26"/>
    </row>
    <row r="136" spans="1:29" ht="16" thickBot="1" x14ac:dyDescent="0.25">
      <c r="A136" s="13" t="s">
        <v>25</v>
      </c>
      <c r="B136" s="181"/>
      <c r="C136" s="182"/>
      <c r="D136" s="181"/>
      <c r="E136" s="182"/>
      <c r="F136" s="181"/>
      <c r="G136" s="182"/>
      <c r="H136" s="181"/>
      <c r="I136" s="182"/>
      <c r="J136" s="14"/>
      <c r="K136" s="14"/>
      <c r="L136" s="181"/>
      <c r="M136" s="182"/>
      <c r="N136" s="14"/>
      <c r="O136" s="14"/>
      <c r="P136" s="181"/>
      <c r="Q136" s="228"/>
      <c r="R136" s="228"/>
      <c r="S136" s="228"/>
      <c r="T136" s="182"/>
      <c r="U136" s="181"/>
      <c r="V136" s="182"/>
      <c r="W136" s="14"/>
      <c r="Y136" s="13" t="s">
        <v>39</v>
      </c>
      <c r="Z136" s="23"/>
      <c r="AA136" s="24"/>
      <c r="AB136" s="25"/>
      <c r="AC136" s="26"/>
    </row>
    <row r="137" spans="1:29" ht="16" thickBot="1" x14ac:dyDescent="0.25">
      <c r="A137" s="13" t="s">
        <v>39</v>
      </c>
      <c r="B137" s="181"/>
      <c r="C137" s="182"/>
      <c r="D137" s="181"/>
      <c r="E137" s="182"/>
      <c r="F137" s="181"/>
      <c r="G137" s="182"/>
      <c r="H137" s="181"/>
      <c r="I137" s="182"/>
      <c r="J137" s="14"/>
      <c r="K137" s="14"/>
      <c r="L137" s="181"/>
      <c r="M137" s="182"/>
      <c r="N137" s="14"/>
      <c r="O137" s="14"/>
      <c r="P137" s="181"/>
      <c r="Q137" s="228"/>
      <c r="R137" s="228"/>
      <c r="S137" s="228"/>
      <c r="T137" s="182"/>
      <c r="U137" s="181"/>
      <c r="V137" s="182"/>
      <c r="W137" s="14"/>
      <c r="Y137" s="13" t="s">
        <v>40</v>
      </c>
      <c r="Z137" s="23"/>
      <c r="AA137" s="24"/>
      <c r="AB137" s="25"/>
      <c r="AC137" s="26"/>
    </row>
    <row r="138" spans="1:29" ht="16" thickBot="1" x14ac:dyDescent="0.25">
      <c r="A138" s="13" t="s">
        <v>40</v>
      </c>
      <c r="B138" s="181"/>
      <c r="C138" s="182"/>
      <c r="D138" s="181"/>
      <c r="E138" s="182"/>
      <c r="F138" s="181"/>
      <c r="G138" s="182"/>
      <c r="H138" s="181"/>
      <c r="I138" s="182"/>
      <c r="J138" s="14"/>
      <c r="K138" s="14"/>
      <c r="L138" s="181"/>
      <c r="M138" s="182"/>
      <c r="N138" s="14"/>
      <c r="O138" s="14"/>
      <c r="P138" s="181"/>
      <c r="Q138" s="228"/>
      <c r="R138" s="228"/>
      <c r="S138" s="228"/>
      <c r="T138" s="182"/>
      <c r="U138" s="181"/>
      <c r="V138" s="182"/>
      <c r="W138" s="14"/>
      <c r="Y138" s="13" t="s">
        <v>28</v>
      </c>
      <c r="Z138" s="23"/>
      <c r="AA138" s="24"/>
      <c r="AB138" s="25"/>
      <c r="AC138" s="26"/>
    </row>
    <row r="139" spans="1:29" ht="16" thickBot="1" x14ac:dyDescent="0.25">
      <c r="A139" s="13" t="s">
        <v>28</v>
      </c>
      <c r="B139" s="181"/>
      <c r="C139" s="182"/>
      <c r="D139" s="181"/>
      <c r="E139" s="182"/>
      <c r="F139" s="181"/>
      <c r="G139" s="182"/>
      <c r="H139" s="181"/>
      <c r="I139" s="182"/>
      <c r="J139" s="14"/>
      <c r="K139" s="14"/>
      <c r="L139" s="181"/>
      <c r="M139" s="182"/>
      <c r="N139" s="14"/>
      <c r="O139" s="14"/>
      <c r="P139" s="181"/>
      <c r="Q139" s="228"/>
      <c r="R139" s="228"/>
      <c r="S139" s="228"/>
      <c r="T139" s="182"/>
      <c r="U139" s="181"/>
      <c r="V139" s="182"/>
      <c r="W139" s="14"/>
      <c r="Y139" s="13" t="s">
        <v>36</v>
      </c>
      <c r="Z139" s="23"/>
      <c r="AA139" s="24"/>
      <c r="AB139" s="25"/>
      <c r="AC139" s="26"/>
    </row>
    <row r="140" spans="1:29" ht="16" thickBot="1" x14ac:dyDescent="0.25">
      <c r="A140" s="13" t="s">
        <v>31</v>
      </c>
      <c r="B140" s="181"/>
      <c r="C140" s="182"/>
      <c r="D140" s="181"/>
      <c r="E140" s="182"/>
      <c r="F140" s="181"/>
      <c r="G140" s="182"/>
      <c r="H140" s="181"/>
      <c r="I140" s="182"/>
      <c r="J140" s="14"/>
      <c r="K140" s="14"/>
      <c r="L140" s="181"/>
      <c r="M140" s="182"/>
      <c r="N140" s="14"/>
      <c r="O140" s="14"/>
      <c r="P140" s="181"/>
      <c r="Q140" s="228"/>
      <c r="R140" s="228"/>
      <c r="S140" s="228"/>
      <c r="T140" s="182"/>
      <c r="U140" s="181"/>
      <c r="V140" s="182"/>
      <c r="W140" s="14"/>
      <c r="Y140" s="13" t="s">
        <v>26</v>
      </c>
      <c r="Z140" s="23"/>
      <c r="AA140" s="24"/>
      <c r="AB140" s="25"/>
      <c r="AC140" s="26"/>
    </row>
    <row r="141" spans="1:29" ht="16" thickBot="1" x14ac:dyDescent="0.25">
      <c r="A141" s="13" t="s">
        <v>36</v>
      </c>
      <c r="B141" s="181"/>
      <c r="C141" s="182"/>
      <c r="D141" s="181"/>
      <c r="E141" s="182"/>
      <c r="F141" s="181"/>
      <c r="G141" s="182"/>
      <c r="H141" s="181"/>
      <c r="I141" s="182"/>
      <c r="J141" s="14"/>
      <c r="K141" s="14"/>
      <c r="L141" s="181"/>
      <c r="M141" s="182"/>
      <c r="N141" s="14"/>
      <c r="O141" s="14"/>
      <c r="P141" s="181"/>
      <c r="Q141" s="228"/>
      <c r="R141" s="228"/>
      <c r="S141" s="228"/>
      <c r="T141" s="182"/>
      <c r="U141" s="181"/>
      <c r="V141" s="182"/>
      <c r="W141" s="14"/>
      <c r="Y141" s="13" t="s">
        <v>35</v>
      </c>
      <c r="Z141" s="23"/>
      <c r="AA141" s="24"/>
      <c r="AB141" s="25"/>
      <c r="AC141" s="26"/>
    </row>
    <row r="142" spans="1:29" ht="16" thickBot="1" x14ac:dyDescent="0.25">
      <c r="A142" s="13" t="s">
        <v>26</v>
      </c>
      <c r="B142" s="181"/>
      <c r="C142" s="182"/>
      <c r="D142" s="181"/>
      <c r="E142" s="182"/>
      <c r="F142" s="181"/>
      <c r="G142" s="182"/>
      <c r="H142" s="181"/>
      <c r="I142" s="182"/>
      <c r="J142" s="14"/>
      <c r="K142" s="14"/>
      <c r="L142" s="181"/>
      <c r="M142" s="182"/>
      <c r="N142" s="14"/>
      <c r="O142" s="14"/>
      <c r="P142" s="181"/>
      <c r="Q142" s="228"/>
      <c r="R142" s="228"/>
      <c r="S142" s="228"/>
      <c r="T142" s="182"/>
      <c r="U142" s="181"/>
      <c r="V142" s="182"/>
      <c r="W142" s="14"/>
      <c r="Y142" s="13" t="s">
        <v>37</v>
      </c>
      <c r="Z142" s="27"/>
      <c r="AA142" s="28"/>
      <c r="AB142" s="29"/>
      <c r="AC142" s="30"/>
    </row>
    <row r="143" spans="1:29" ht="16" thickBot="1" x14ac:dyDescent="0.25">
      <c r="A143" s="13" t="s">
        <v>30</v>
      </c>
      <c r="B143" s="181"/>
      <c r="C143" s="182"/>
      <c r="D143" s="181"/>
      <c r="E143" s="182"/>
      <c r="F143" s="181"/>
      <c r="G143" s="182"/>
      <c r="H143" s="181"/>
      <c r="I143" s="182"/>
      <c r="J143" s="14"/>
      <c r="K143" s="14"/>
      <c r="L143" s="181"/>
      <c r="M143" s="182"/>
      <c r="N143" s="14"/>
      <c r="O143" s="14"/>
      <c r="P143" s="181"/>
      <c r="Q143" s="228"/>
      <c r="R143" s="228"/>
      <c r="S143" s="228"/>
      <c r="T143" s="182"/>
      <c r="U143" s="181"/>
      <c r="V143" s="182"/>
      <c r="W143" s="14"/>
      <c r="Y143" s="34" t="s">
        <v>71</v>
      </c>
      <c r="Z143" s="27"/>
      <c r="AA143" s="28"/>
      <c r="AB143" s="29"/>
      <c r="AC143" s="30"/>
    </row>
    <row r="144" spans="1:29" x14ac:dyDescent="0.2">
      <c r="A144" s="13" t="s">
        <v>35</v>
      </c>
      <c r="B144" s="181"/>
      <c r="C144" s="182"/>
      <c r="D144" s="181"/>
      <c r="E144" s="182"/>
      <c r="F144" s="181"/>
      <c r="G144" s="182"/>
      <c r="H144" s="181"/>
      <c r="I144" s="182"/>
      <c r="J144" s="14"/>
      <c r="K144" s="14"/>
      <c r="L144" s="181"/>
      <c r="M144" s="182"/>
      <c r="N144" s="14"/>
      <c r="O144" s="14"/>
      <c r="P144" s="181"/>
      <c r="Q144" s="228"/>
      <c r="R144" s="228"/>
      <c r="S144" s="228"/>
      <c r="T144" s="182"/>
      <c r="U144" s="181"/>
      <c r="V144" s="182"/>
      <c r="W144" s="14"/>
    </row>
    <row r="145" spans="1:30" x14ac:dyDescent="0.2">
      <c r="A145" s="13" t="s">
        <v>41</v>
      </c>
      <c r="B145" s="181"/>
      <c r="C145" s="182"/>
      <c r="D145" s="181"/>
      <c r="E145" s="182"/>
      <c r="F145" s="181"/>
      <c r="G145" s="182"/>
      <c r="H145" s="181"/>
      <c r="I145" s="182"/>
      <c r="J145" s="14"/>
      <c r="K145" s="14"/>
      <c r="L145" s="181"/>
      <c r="M145" s="182"/>
      <c r="N145" s="14"/>
      <c r="O145" s="14"/>
      <c r="P145" s="181"/>
      <c r="Q145" s="228"/>
      <c r="R145" s="228"/>
      <c r="S145" s="228"/>
      <c r="T145" s="182"/>
      <c r="U145" s="181"/>
      <c r="V145" s="182"/>
      <c r="W145" s="14"/>
    </row>
    <row r="146" spans="1:30" x14ac:dyDescent="0.2">
      <c r="A146" s="13" t="s">
        <v>37</v>
      </c>
      <c r="B146" s="181"/>
      <c r="C146" s="182"/>
      <c r="D146" s="181"/>
      <c r="E146" s="182"/>
      <c r="F146" s="181"/>
      <c r="G146" s="182"/>
      <c r="H146" s="181"/>
      <c r="I146" s="182"/>
      <c r="J146" s="14"/>
      <c r="K146" s="14"/>
      <c r="L146" s="181"/>
      <c r="M146" s="182"/>
      <c r="N146" s="14"/>
      <c r="O146" s="14"/>
      <c r="P146" s="181"/>
      <c r="Q146" s="228"/>
      <c r="R146" s="228"/>
      <c r="S146" s="228"/>
      <c r="T146" s="182"/>
      <c r="U146" s="181"/>
      <c r="V146" s="182"/>
      <c r="W146" s="14"/>
    </row>
    <row r="148" spans="1:30" ht="14.25" customHeight="1" x14ac:dyDescent="0.2">
      <c r="A148" s="229" t="s">
        <v>67</v>
      </c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29"/>
      <c r="P148" s="229"/>
      <c r="Q148" s="229"/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229"/>
      <c r="AD148" s="229"/>
    </row>
    <row r="149" spans="1:30" ht="14.75" customHeight="1" thickBot="1" x14ac:dyDescent="0.25">
      <c r="A149" s="229"/>
      <c r="B149" s="229"/>
      <c r="C149" s="229"/>
      <c r="D149" s="229"/>
      <c r="E149" s="229"/>
      <c r="F149" s="229"/>
      <c r="G149" s="229"/>
      <c r="H149" s="229"/>
      <c r="I149" s="229"/>
      <c r="J149" s="229"/>
      <c r="K149" s="229"/>
      <c r="L149" s="229"/>
      <c r="M149" s="229"/>
      <c r="N149" s="229"/>
      <c r="O149" s="229"/>
      <c r="P149" s="229"/>
      <c r="Q149" s="229"/>
      <c r="R149" s="229"/>
      <c r="S149" s="229"/>
      <c r="T149" s="229"/>
      <c r="U149" s="229"/>
      <c r="V149" s="229"/>
      <c r="W149" s="229"/>
      <c r="X149" s="229"/>
      <c r="Y149" s="229"/>
      <c r="Z149" s="229"/>
      <c r="AA149" s="229"/>
      <c r="AB149" s="229"/>
      <c r="AC149" s="229"/>
      <c r="AD149" s="229"/>
    </row>
    <row r="150" spans="1:30" ht="16" thickBot="1" x14ac:dyDescent="0.25">
      <c r="B150" s="142" t="s">
        <v>44</v>
      </c>
      <c r="C150" s="143"/>
      <c r="D150" s="142" t="s">
        <v>2</v>
      </c>
      <c r="E150" s="143"/>
      <c r="F150" s="142" t="s">
        <v>3</v>
      </c>
      <c r="G150" s="143"/>
      <c r="H150" s="142" t="s">
        <v>4</v>
      </c>
      <c r="I150" s="143"/>
      <c r="J150" s="150" t="s">
        <v>5</v>
      </c>
      <c r="K150" s="150" t="s">
        <v>6</v>
      </c>
      <c r="L150" s="158" t="s">
        <v>7</v>
      </c>
      <c r="M150" s="159"/>
      <c r="N150" s="150" t="s">
        <v>8</v>
      </c>
      <c r="O150" s="150" t="s">
        <v>9</v>
      </c>
      <c r="P150" s="142" t="s">
        <v>45</v>
      </c>
      <c r="Q150" s="156"/>
      <c r="R150" s="156"/>
      <c r="S150" s="156"/>
      <c r="T150" s="143"/>
      <c r="U150" s="138" t="s">
        <v>13</v>
      </c>
      <c r="V150" s="139"/>
      <c r="W150" s="15" t="s">
        <v>14</v>
      </c>
      <c r="Z150" s="130" t="s">
        <v>58</v>
      </c>
      <c r="AA150" s="131"/>
      <c r="AB150" s="131"/>
      <c r="AC150" s="132"/>
    </row>
    <row r="151" spans="1:30" ht="16" thickBot="1" x14ac:dyDescent="0.25">
      <c r="B151" s="230"/>
      <c r="C151" s="231"/>
      <c r="D151" s="230"/>
      <c r="E151" s="231"/>
      <c r="F151" s="230"/>
      <c r="G151" s="231"/>
      <c r="H151" s="230"/>
      <c r="I151" s="231"/>
      <c r="J151" s="232"/>
      <c r="K151" s="232"/>
      <c r="L151" s="233"/>
      <c r="M151" s="234"/>
      <c r="N151" s="232"/>
      <c r="O151" s="232"/>
      <c r="P151" s="230"/>
      <c r="Q151" s="235"/>
      <c r="R151" s="235"/>
      <c r="S151" s="235"/>
      <c r="T151" s="231"/>
      <c r="U151" s="236"/>
      <c r="V151" s="237"/>
      <c r="W151" s="18" t="s">
        <v>17</v>
      </c>
      <c r="Z151" s="238" t="s">
        <v>59</v>
      </c>
      <c r="AA151" s="239"/>
      <c r="AB151" s="240" t="s">
        <v>60</v>
      </c>
      <c r="AC151" s="136"/>
    </row>
    <row r="152" spans="1:30" ht="16" thickBot="1" x14ac:dyDescent="0.25">
      <c r="A152" s="13" t="s">
        <v>34</v>
      </c>
      <c r="B152" s="181"/>
      <c r="C152" s="182"/>
      <c r="D152" s="181"/>
      <c r="E152" s="182"/>
      <c r="F152" s="181"/>
      <c r="G152" s="182"/>
      <c r="H152" s="181"/>
      <c r="I152" s="182"/>
      <c r="J152" s="14"/>
      <c r="K152" s="14"/>
      <c r="L152" s="181"/>
      <c r="M152" s="182"/>
      <c r="N152" s="14"/>
      <c r="O152" s="14"/>
      <c r="P152" s="181"/>
      <c r="Q152" s="228"/>
      <c r="R152" s="228"/>
      <c r="S152" s="228"/>
      <c r="T152" s="182"/>
      <c r="U152" s="181"/>
      <c r="V152" s="182"/>
      <c r="W152" s="14"/>
      <c r="Y152" s="31" t="s">
        <v>32</v>
      </c>
      <c r="Z152" s="23"/>
      <c r="AA152" s="24"/>
      <c r="AB152" s="32"/>
      <c r="AC152" s="33"/>
    </row>
    <row r="153" spans="1:30" ht="16" thickBot="1" x14ac:dyDescent="0.25">
      <c r="A153" s="13" t="s">
        <v>32</v>
      </c>
      <c r="B153" s="181"/>
      <c r="C153" s="182"/>
      <c r="D153" s="181"/>
      <c r="E153" s="182"/>
      <c r="F153" s="181"/>
      <c r="G153" s="182"/>
      <c r="H153" s="181"/>
      <c r="I153" s="182"/>
      <c r="J153" s="14"/>
      <c r="K153" s="14"/>
      <c r="L153" s="181"/>
      <c r="M153" s="182"/>
      <c r="N153" s="14"/>
      <c r="O153" s="14"/>
      <c r="P153" s="181"/>
      <c r="Q153" s="228"/>
      <c r="R153" s="228"/>
      <c r="S153" s="228"/>
      <c r="T153" s="182"/>
      <c r="U153" s="181"/>
      <c r="V153" s="182"/>
      <c r="W153" s="14"/>
      <c r="Y153" s="13" t="s">
        <v>34</v>
      </c>
      <c r="Z153" s="23"/>
      <c r="AA153" s="24"/>
      <c r="AB153" s="29"/>
      <c r="AC153" s="30"/>
    </row>
    <row r="154" spans="1:30" ht="16" thickBot="1" x14ac:dyDescent="0.25">
      <c r="A154" s="13" t="s">
        <v>33</v>
      </c>
      <c r="B154" s="181"/>
      <c r="C154" s="182"/>
      <c r="D154" s="181"/>
      <c r="E154" s="182"/>
      <c r="F154" s="181"/>
      <c r="G154" s="182"/>
      <c r="H154" s="181"/>
      <c r="I154" s="182"/>
      <c r="J154" s="14"/>
      <c r="K154" s="14"/>
      <c r="L154" s="181"/>
      <c r="M154" s="182"/>
      <c r="N154" s="14"/>
      <c r="O154" s="14"/>
      <c r="P154" s="181"/>
      <c r="Q154" s="228"/>
      <c r="R154" s="228"/>
      <c r="S154" s="228"/>
      <c r="T154" s="182"/>
      <c r="U154" s="181"/>
      <c r="V154" s="182"/>
      <c r="W154" s="14"/>
      <c r="Y154" s="13" t="s">
        <v>38</v>
      </c>
      <c r="Z154" s="23"/>
      <c r="AA154" s="24"/>
      <c r="AB154" s="25"/>
      <c r="AC154" s="26"/>
    </row>
    <row r="155" spans="1:30" ht="16" thickBot="1" x14ac:dyDescent="0.25">
      <c r="A155" s="13" t="s">
        <v>38</v>
      </c>
      <c r="B155" s="181"/>
      <c r="C155" s="182"/>
      <c r="D155" s="181"/>
      <c r="E155" s="182"/>
      <c r="F155" s="181"/>
      <c r="G155" s="182"/>
      <c r="H155" s="181"/>
      <c r="I155" s="182"/>
      <c r="J155" s="14"/>
      <c r="K155" s="14"/>
      <c r="L155" s="181"/>
      <c r="M155" s="182"/>
      <c r="N155" s="14"/>
      <c r="O155" s="14"/>
      <c r="P155" s="181"/>
      <c r="Q155" s="228"/>
      <c r="R155" s="228"/>
      <c r="S155" s="228"/>
      <c r="T155" s="182"/>
      <c r="U155" s="181"/>
      <c r="V155" s="182"/>
      <c r="W155" s="14"/>
      <c r="Y155" s="13" t="s">
        <v>27</v>
      </c>
      <c r="Z155" s="23"/>
      <c r="AA155" s="24"/>
      <c r="AB155" s="25"/>
      <c r="AC155" s="26"/>
    </row>
    <row r="156" spans="1:30" ht="16" thickBot="1" x14ac:dyDescent="0.25">
      <c r="A156" s="13" t="s">
        <v>27</v>
      </c>
      <c r="B156" s="181"/>
      <c r="C156" s="182"/>
      <c r="D156" s="181"/>
      <c r="E156" s="182"/>
      <c r="F156" s="181"/>
      <c r="G156" s="182"/>
      <c r="H156" s="181"/>
      <c r="I156" s="182"/>
      <c r="J156" s="14"/>
      <c r="K156" s="14"/>
      <c r="L156" s="181"/>
      <c r="M156" s="182"/>
      <c r="N156" s="14"/>
      <c r="O156" s="14"/>
      <c r="P156" s="181"/>
      <c r="Q156" s="228"/>
      <c r="R156" s="228"/>
      <c r="S156" s="228"/>
      <c r="T156" s="182"/>
      <c r="U156" s="181"/>
      <c r="V156" s="182"/>
      <c r="W156" s="14"/>
      <c r="Y156" s="13" t="s">
        <v>25</v>
      </c>
      <c r="Z156" s="23"/>
      <c r="AA156" s="24"/>
      <c r="AB156" s="25"/>
      <c r="AC156" s="26"/>
    </row>
    <row r="157" spans="1:30" ht="16" thickBot="1" x14ac:dyDescent="0.25">
      <c r="A157" s="13" t="s">
        <v>25</v>
      </c>
      <c r="B157" s="181"/>
      <c r="C157" s="182"/>
      <c r="D157" s="181"/>
      <c r="E157" s="182"/>
      <c r="F157" s="181"/>
      <c r="G157" s="182"/>
      <c r="H157" s="181"/>
      <c r="I157" s="182"/>
      <c r="J157" s="14"/>
      <c r="K157" s="14"/>
      <c r="L157" s="181"/>
      <c r="M157" s="182"/>
      <c r="N157" s="14"/>
      <c r="O157" s="14"/>
      <c r="P157" s="181"/>
      <c r="Q157" s="228"/>
      <c r="R157" s="228"/>
      <c r="S157" s="228"/>
      <c r="T157" s="182"/>
      <c r="U157" s="181"/>
      <c r="V157" s="182"/>
      <c r="W157" s="14"/>
      <c r="Y157" s="13" t="s">
        <v>39</v>
      </c>
      <c r="Z157" s="23"/>
      <c r="AA157" s="24"/>
      <c r="AB157" s="25"/>
      <c r="AC157" s="26"/>
    </row>
    <row r="158" spans="1:30" ht="16" thickBot="1" x14ac:dyDescent="0.25">
      <c r="A158" s="13" t="s">
        <v>39</v>
      </c>
      <c r="B158" s="181"/>
      <c r="C158" s="182"/>
      <c r="D158" s="181"/>
      <c r="E158" s="182"/>
      <c r="F158" s="181"/>
      <c r="G158" s="182"/>
      <c r="H158" s="181"/>
      <c r="I158" s="182"/>
      <c r="J158" s="14"/>
      <c r="K158" s="14"/>
      <c r="L158" s="181"/>
      <c r="M158" s="182"/>
      <c r="N158" s="14"/>
      <c r="O158" s="14"/>
      <c r="P158" s="181"/>
      <c r="Q158" s="228"/>
      <c r="R158" s="228"/>
      <c r="S158" s="228"/>
      <c r="T158" s="182"/>
      <c r="U158" s="181"/>
      <c r="V158" s="182"/>
      <c r="W158" s="14"/>
      <c r="Y158" s="13" t="s">
        <v>40</v>
      </c>
      <c r="Z158" s="23"/>
      <c r="AA158" s="24"/>
      <c r="AB158" s="25"/>
      <c r="AC158" s="26"/>
    </row>
    <row r="159" spans="1:30" ht="16" thickBot="1" x14ac:dyDescent="0.25">
      <c r="A159" s="13" t="s">
        <v>40</v>
      </c>
      <c r="B159" s="181"/>
      <c r="C159" s="182"/>
      <c r="D159" s="181"/>
      <c r="E159" s="182"/>
      <c r="F159" s="181"/>
      <c r="G159" s="182"/>
      <c r="H159" s="181"/>
      <c r="I159" s="182"/>
      <c r="J159" s="14"/>
      <c r="K159" s="14"/>
      <c r="L159" s="181"/>
      <c r="M159" s="182"/>
      <c r="N159" s="14"/>
      <c r="O159" s="14"/>
      <c r="P159" s="181"/>
      <c r="Q159" s="228"/>
      <c r="R159" s="228"/>
      <c r="S159" s="228"/>
      <c r="T159" s="182"/>
      <c r="U159" s="181"/>
      <c r="V159" s="182"/>
      <c r="W159" s="14"/>
      <c r="Y159" s="13" t="s">
        <v>28</v>
      </c>
      <c r="Z159" s="23"/>
      <c r="AA159" s="24"/>
      <c r="AB159" s="25"/>
      <c r="AC159" s="26"/>
    </row>
    <row r="160" spans="1:30" ht="16" thickBot="1" x14ac:dyDescent="0.25">
      <c r="A160" s="13" t="s">
        <v>28</v>
      </c>
      <c r="B160" s="181"/>
      <c r="C160" s="182"/>
      <c r="D160" s="181"/>
      <c r="E160" s="182"/>
      <c r="F160" s="181"/>
      <c r="G160" s="182"/>
      <c r="H160" s="181"/>
      <c r="I160" s="182"/>
      <c r="J160" s="14"/>
      <c r="K160" s="14"/>
      <c r="L160" s="181"/>
      <c r="M160" s="182"/>
      <c r="N160" s="14"/>
      <c r="O160" s="14"/>
      <c r="P160" s="181"/>
      <c r="Q160" s="228"/>
      <c r="R160" s="228"/>
      <c r="S160" s="228"/>
      <c r="T160" s="182"/>
      <c r="U160" s="181"/>
      <c r="V160" s="182"/>
      <c r="W160" s="14"/>
      <c r="Y160" s="13" t="s">
        <v>36</v>
      </c>
      <c r="Z160" s="23"/>
      <c r="AA160" s="24"/>
      <c r="AB160" s="25"/>
      <c r="AC160" s="26"/>
    </row>
    <row r="161" spans="1:30" ht="16" thickBot="1" x14ac:dyDescent="0.25">
      <c r="A161" s="13" t="s">
        <v>31</v>
      </c>
      <c r="B161" s="181"/>
      <c r="C161" s="182"/>
      <c r="D161" s="181"/>
      <c r="E161" s="182"/>
      <c r="F161" s="181"/>
      <c r="G161" s="182"/>
      <c r="H161" s="181"/>
      <c r="I161" s="182"/>
      <c r="J161" s="14"/>
      <c r="K161" s="14"/>
      <c r="L161" s="181"/>
      <c r="M161" s="182"/>
      <c r="N161" s="14"/>
      <c r="O161" s="14"/>
      <c r="P161" s="181"/>
      <c r="Q161" s="228"/>
      <c r="R161" s="228"/>
      <c r="S161" s="228"/>
      <c r="T161" s="182"/>
      <c r="U161" s="181"/>
      <c r="V161" s="182"/>
      <c r="W161" s="14"/>
      <c r="Y161" s="13" t="s">
        <v>26</v>
      </c>
      <c r="Z161" s="23"/>
      <c r="AA161" s="24"/>
      <c r="AB161" s="25"/>
      <c r="AC161" s="26"/>
    </row>
    <row r="162" spans="1:30" ht="16" thickBot="1" x14ac:dyDescent="0.25">
      <c r="A162" s="13" t="s">
        <v>36</v>
      </c>
      <c r="B162" s="181"/>
      <c r="C162" s="182"/>
      <c r="D162" s="181"/>
      <c r="E162" s="182"/>
      <c r="F162" s="181"/>
      <c r="G162" s="182"/>
      <c r="H162" s="181"/>
      <c r="I162" s="182"/>
      <c r="J162" s="14"/>
      <c r="K162" s="14"/>
      <c r="L162" s="181"/>
      <c r="M162" s="182"/>
      <c r="N162" s="14"/>
      <c r="O162" s="14"/>
      <c r="P162" s="181"/>
      <c r="Q162" s="228"/>
      <c r="R162" s="228"/>
      <c r="S162" s="228"/>
      <c r="T162" s="182"/>
      <c r="U162" s="181"/>
      <c r="V162" s="182"/>
      <c r="W162" s="14"/>
      <c r="Y162" s="13" t="s">
        <v>35</v>
      </c>
      <c r="Z162" s="23"/>
      <c r="AA162" s="24"/>
      <c r="AB162" s="25"/>
      <c r="AC162" s="26"/>
    </row>
    <row r="163" spans="1:30" ht="16" thickBot="1" x14ac:dyDescent="0.25">
      <c r="A163" s="13" t="s">
        <v>26</v>
      </c>
      <c r="B163" s="181"/>
      <c r="C163" s="182"/>
      <c r="D163" s="181"/>
      <c r="E163" s="182"/>
      <c r="F163" s="181"/>
      <c r="G163" s="182"/>
      <c r="H163" s="181"/>
      <c r="I163" s="182"/>
      <c r="J163" s="14"/>
      <c r="K163" s="14"/>
      <c r="L163" s="181"/>
      <c r="M163" s="182"/>
      <c r="N163" s="14"/>
      <c r="O163" s="14"/>
      <c r="P163" s="181"/>
      <c r="Q163" s="228"/>
      <c r="R163" s="228"/>
      <c r="S163" s="228"/>
      <c r="T163" s="182"/>
      <c r="U163" s="181"/>
      <c r="V163" s="182"/>
      <c r="W163" s="14"/>
      <c r="Y163" s="13" t="s">
        <v>37</v>
      </c>
      <c r="Z163" s="27"/>
      <c r="AA163" s="28"/>
      <c r="AB163" s="29"/>
      <c r="AC163" s="30"/>
    </row>
    <row r="164" spans="1:30" ht="16" thickBot="1" x14ac:dyDescent="0.25">
      <c r="A164" s="13" t="s">
        <v>30</v>
      </c>
      <c r="B164" s="181"/>
      <c r="C164" s="182"/>
      <c r="D164" s="181"/>
      <c r="E164" s="182"/>
      <c r="F164" s="181"/>
      <c r="G164" s="182"/>
      <c r="H164" s="181"/>
      <c r="I164" s="182"/>
      <c r="J164" s="14"/>
      <c r="K164" s="14"/>
      <c r="L164" s="181"/>
      <c r="M164" s="182"/>
      <c r="N164" s="14"/>
      <c r="O164" s="14"/>
      <c r="P164" s="181"/>
      <c r="Q164" s="228"/>
      <c r="R164" s="228"/>
      <c r="S164" s="228"/>
      <c r="T164" s="182"/>
      <c r="U164" s="181"/>
      <c r="V164" s="182"/>
      <c r="W164" s="14"/>
      <c r="Y164" s="34" t="s">
        <v>71</v>
      </c>
      <c r="Z164" s="27"/>
      <c r="AA164" s="28"/>
      <c r="AB164" s="29"/>
      <c r="AC164" s="30"/>
    </row>
    <row r="165" spans="1:30" x14ac:dyDescent="0.2">
      <c r="A165" s="13" t="s">
        <v>35</v>
      </c>
      <c r="B165" s="181"/>
      <c r="C165" s="182"/>
      <c r="D165" s="181"/>
      <c r="E165" s="182"/>
      <c r="F165" s="181"/>
      <c r="G165" s="182"/>
      <c r="H165" s="181"/>
      <c r="I165" s="182"/>
      <c r="J165" s="14"/>
      <c r="K165" s="14"/>
      <c r="L165" s="181"/>
      <c r="M165" s="182"/>
      <c r="N165" s="14"/>
      <c r="O165" s="14"/>
      <c r="P165" s="181"/>
      <c r="Q165" s="228"/>
      <c r="R165" s="228"/>
      <c r="S165" s="228"/>
      <c r="T165" s="182"/>
      <c r="U165" s="181"/>
      <c r="V165" s="182"/>
      <c r="W165" s="14"/>
    </row>
    <row r="166" spans="1:30" x14ac:dyDescent="0.2">
      <c r="A166" s="13" t="s">
        <v>41</v>
      </c>
      <c r="B166" s="181"/>
      <c r="C166" s="182"/>
      <c r="D166" s="181"/>
      <c r="E166" s="182"/>
      <c r="F166" s="181"/>
      <c r="G166" s="182"/>
      <c r="H166" s="181"/>
      <c r="I166" s="182"/>
      <c r="J166" s="14"/>
      <c r="K166" s="14"/>
      <c r="L166" s="181"/>
      <c r="M166" s="182"/>
      <c r="N166" s="14"/>
      <c r="O166" s="14"/>
      <c r="P166" s="181"/>
      <c r="Q166" s="228"/>
      <c r="R166" s="228"/>
      <c r="S166" s="228"/>
      <c r="T166" s="182"/>
      <c r="U166" s="181"/>
      <c r="V166" s="182"/>
      <c r="W166" s="14"/>
    </row>
    <row r="167" spans="1:30" x14ac:dyDescent="0.2">
      <c r="A167" s="13" t="s">
        <v>37</v>
      </c>
      <c r="B167" s="181"/>
      <c r="C167" s="182"/>
      <c r="D167" s="181"/>
      <c r="E167" s="182"/>
      <c r="F167" s="181"/>
      <c r="G167" s="182"/>
      <c r="H167" s="181"/>
      <c r="I167" s="182"/>
      <c r="J167" s="14"/>
      <c r="K167" s="14"/>
      <c r="L167" s="181"/>
      <c r="M167" s="182"/>
      <c r="N167" s="14"/>
      <c r="O167" s="14"/>
      <c r="P167" s="181"/>
      <c r="Q167" s="228"/>
      <c r="R167" s="228"/>
      <c r="S167" s="228"/>
      <c r="T167" s="182"/>
      <c r="U167" s="181"/>
      <c r="V167" s="182"/>
      <c r="W167" s="14"/>
    </row>
    <row r="169" spans="1:30" ht="14.25" customHeight="1" x14ac:dyDescent="0.2">
      <c r="A169" s="229" t="s">
        <v>68</v>
      </c>
      <c r="B169" s="229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29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</row>
    <row r="170" spans="1:30" ht="14.75" customHeight="1" thickBot="1" x14ac:dyDescent="0.25">
      <c r="A170" s="229"/>
      <c r="B170" s="229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29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</row>
    <row r="171" spans="1:30" ht="16" thickBot="1" x14ac:dyDescent="0.25">
      <c r="B171" s="142" t="s">
        <v>44</v>
      </c>
      <c r="C171" s="143"/>
      <c r="D171" s="142" t="s">
        <v>2</v>
      </c>
      <c r="E171" s="143"/>
      <c r="F171" s="142" t="s">
        <v>3</v>
      </c>
      <c r="G171" s="143"/>
      <c r="H171" s="142" t="s">
        <v>4</v>
      </c>
      <c r="I171" s="143"/>
      <c r="J171" s="150" t="s">
        <v>5</v>
      </c>
      <c r="K171" s="150" t="s">
        <v>6</v>
      </c>
      <c r="L171" s="158" t="s">
        <v>7</v>
      </c>
      <c r="M171" s="159"/>
      <c r="N171" s="150" t="s">
        <v>8</v>
      </c>
      <c r="O171" s="150" t="s">
        <v>9</v>
      </c>
      <c r="P171" s="142" t="s">
        <v>45</v>
      </c>
      <c r="Q171" s="156"/>
      <c r="R171" s="156"/>
      <c r="S171" s="156"/>
      <c r="T171" s="143"/>
      <c r="U171" s="138" t="s">
        <v>13</v>
      </c>
      <c r="V171" s="139"/>
      <c r="W171" s="15" t="s">
        <v>14</v>
      </c>
      <c r="Z171" s="130" t="s">
        <v>58</v>
      </c>
      <c r="AA171" s="131"/>
      <c r="AB171" s="131"/>
      <c r="AC171" s="132"/>
    </row>
    <row r="172" spans="1:30" ht="16" thickBot="1" x14ac:dyDescent="0.25">
      <c r="B172" s="230"/>
      <c r="C172" s="231"/>
      <c r="D172" s="230"/>
      <c r="E172" s="231"/>
      <c r="F172" s="230"/>
      <c r="G172" s="231"/>
      <c r="H172" s="230"/>
      <c r="I172" s="231"/>
      <c r="J172" s="232"/>
      <c r="K172" s="232"/>
      <c r="L172" s="233"/>
      <c r="M172" s="234"/>
      <c r="N172" s="232"/>
      <c r="O172" s="232"/>
      <c r="P172" s="230"/>
      <c r="Q172" s="235"/>
      <c r="R172" s="235"/>
      <c r="S172" s="235"/>
      <c r="T172" s="231"/>
      <c r="U172" s="236"/>
      <c r="V172" s="237"/>
      <c r="W172" s="18" t="s">
        <v>17</v>
      </c>
      <c r="Z172" s="238" t="s">
        <v>59</v>
      </c>
      <c r="AA172" s="239"/>
      <c r="AB172" s="240" t="s">
        <v>60</v>
      </c>
      <c r="AC172" s="136"/>
    </row>
    <row r="173" spans="1:30" ht="16" thickBot="1" x14ac:dyDescent="0.25">
      <c r="A173" s="13" t="s">
        <v>34</v>
      </c>
      <c r="B173" s="181"/>
      <c r="C173" s="182"/>
      <c r="D173" s="181"/>
      <c r="E173" s="182"/>
      <c r="F173" s="181"/>
      <c r="G173" s="182"/>
      <c r="H173" s="181"/>
      <c r="I173" s="182"/>
      <c r="J173" s="14"/>
      <c r="K173" s="14"/>
      <c r="L173" s="181"/>
      <c r="M173" s="182"/>
      <c r="N173" s="14"/>
      <c r="O173" s="14"/>
      <c r="P173" s="181"/>
      <c r="Q173" s="228"/>
      <c r="R173" s="228"/>
      <c r="S173" s="228"/>
      <c r="T173" s="182"/>
      <c r="U173" s="181"/>
      <c r="V173" s="182"/>
      <c r="W173" s="14"/>
      <c r="Y173" s="31" t="s">
        <v>32</v>
      </c>
      <c r="Z173" s="23"/>
      <c r="AA173" s="24"/>
      <c r="AB173" s="241"/>
      <c r="AC173" s="242"/>
    </row>
    <row r="174" spans="1:30" ht="16" thickBot="1" x14ac:dyDescent="0.25">
      <c r="A174" s="13" t="s">
        <v>32</v>
      </c>
      <c r="B174" s="181"/>
      <c r="C174" s="182"/>
      <c r="D174" s="181"/>
      <c r="E174" s="182"/>
      <c r="F174" s="181"/>
      <c r="G174" s="182"/>
      <c r="H174" s="181"/>
      <c r="I174" s="182"/>
      <c r="J174" s="14"/>
      <c r="K174" s="14"/>
      <c r="L174" s="181"/>
      <c r="M174" s="182"/>
      <c r="N174" s="14"/>
      <c r="O174" s="14"/>
      <c r="P174" s="181"/>
      <c r="Q174" s="228"/>
      <c r="R174" s="228"/>
      <c r="S174" s="228"/>
      <c r="T174" s="182"/>
      <c r="U174" s="181"/>
      <c r="V174" s="182"/>
      <c r="W174" s="14"/>
      <c r="Y174" s="13" t="s">
        <v>34</v>
      </c>
      <c r="Z174" s="243"/>
      <c r="AA174" s="244"/>
      <c r="AB174" s="245"/>
      <c r="AC174" s="246"/>
    </row>
    <row r="175" spans="1:30" ht="16" thickBot="1" x14ac:dyDescent="0.25">
      <c r="A175" s="13" t="s">
        <v>33</v>
      </c>
      <c r="B175" s="181"/>
      <c r="C175" s="182"/>
      <c r="D175" s="181"/>
      <c r="E175" s="182"/>
      <c r="F175" s="181"/>
      <c r="G175" s="182"/>
      <c r="H175" s="181"/>
      <c r="I175" s="182"/>
      <c r="J175" s="14"/>
      <c r="K175" s="14"/>
      <c r="L175" s="181"/>
      <c r="M175" s="182"/>
      <c r="N175" s="14"/>
      <c r="O175" s="14"/>
      <c r="P175" s="181"/>
      <c r="Q175" s="228"/>
      <c r="R175" s="228"/>
      <c r="S175" s="228"/>
      <c r="T175" s="182"/>
      <c r="U175" s="181"/>
      <c r="V175" s="182"/>
      <c r="W175" s="14"/>
      <c r="Y175" s="13" t="s">
        <v>38</v>
      </c>
      <c r="Z175" s="243"/>
      <c r="AA175" s="244"/>
      <c r="AB175" s="245"/>
      <c r="AC175" s="246"/>
    </row>
    <row r="176" spans="1:30" ht="16" thickBot="1" x14ac:dyDescent="0.25">
      <c r="A176" s="13" t="s">
        <v>38</v>
      </c>
      <c r="B176" s="181"/>
      <c r="C176" s="182"/>
      <c r="D176" s="181"/>
      <c r="E176" s="182"/>
      <c r="F176" s="181"/>
      <c r="G176" s="182"/>
      <c r="H176" s="181"/>
      <c r="I176" s="182"/>
      <c r="J176" s="14"/>
      <c r="K176" s="14"/>
      <c r="L176" s="181"/>
      <c r="M176" s="182"/>
      <c r="N176" s="14"/>
      <c r="O176" s="14"/>
      <c r="P176" s="181"/>
      <c r="Q176" s="228"/>
      <c r="R176" s="228"/>
      <c r="S176" s="228"/>
      <c r="T176" s="182"/>
      <c r="U176" s="181"/>
      <c r="V176" s="182"/>
      <c r="W176" s="14"/>
      <c r="Y176" s="13" t="s">
        <v>27</v>
      </c>
      <c r="Z176" s="243"/>
      <c r="AA176" s="244"/>
      <c r="AB176" s="245"/>
      <c r="AC176" s="246"/>
    </row>
    <row r="177" spans="1:30" ht="16" thickBot="1" x14ac:dyDescent="0.25">
      <c r="A177" s="13" t="s">
        <v>27</v>
      </c>
      <c r="B177" s="181"/>
      <c r="C177" s="182"/>
      <c r="D177" s="181"/>
      <c r="E177" s="182"/>
      <c r="F177" s="181"/>
      <c r="G177" s="182"/>
      <c r="H177" s="181"/>
      <c r="I177" s="182"/>
      <c r="J177" s="14"/>
      <c r="K177" s="14"/>
      <c r="L177" s="181"/>
      <c r="M177" s="182"/>
      <c r="N177" s="14"/>
      <c r="O177" s="14"/>
      <c r="P177" s="181"/>
      <c r="Q177" s="228"/>
      <c r="R177" s="228"/>
      <c r="S177" s="228"/>
      <c r="T177" s="182"/>
      <c r="U177" s="181"/>
      <c r="V177" s="182"/>
      <c r="W177" s="14"/>
      <c r="Y177" s="13" t="s">
        <v>25</v>
      </c>
      <c r="Z177" s="243"/>
      <c r="AA177" s="244"/>
      <c r="AB177" s="245"/>
      <c r="AC177" s="246"/>
    </row>
    <row r="178" spans="1:30" ht="16" thickBot="1" x14ac:dyDescent="0.25">
      <c r="A178" s="13" t="s">
        <v>25</v>
      </c>
      <c r="B178" s="181"/>
      <c r="C178" s="182"/>
      <c r="D178" s="181"/>
      <c r="E178" s="182"/>
      <c r="F178" s="181"/>
      <c r="G178" s="182"/>
      <c r="H178" s="181"/>
      <c r="I178" s="182"/>
      <c r="J178" s="14"/>
      <c r="K178" s="14"/>
      <c r="L178" s="181"/>
      <c r="M178" s="182"/>
      <c r="N178" s="14"/>
      <c r="O178" s="14"/>
      <c r="P178" s="181"/>
      <c r="Q178" s="228"/>
      <c r="R178" s="228"/>
      <c r="S178" s="228"/>
      <c r="T178" s="182"/>
      <c r="U178" s="181"/>
      <c r="V178" s="182"/>
      <c r="W178" s="14"/>
      <c r="Y178" s="13" t="s">
        <v>39</v>
      </c>
      <c r="Z178" s="243"/>
      <c r="AA178" s="244"/>
      <c r="AB178" s="245"/>
      <c r="AC178" s="246"/>
    </row>
    <row r="179" spans="1:30" ht="16" thickBot="1" x14ac:dyDescent="0.25">
      <c r="A179" s="13" t="s">
        <v>39</v>
      </c>
      <c r="B179" s="181"/>
      <c r="C179" s="182"/>
      <c r="D179" s="181"/>
      <c r="E179" s="182"/>
      <c r="F179" s="181"/>
      <c r="G179" s="182"/>
      <c r="H179" s="181"/>
      <c r="I179" s="182"/>
      <c r="J179" s="14"/>
      <c r="K179" s="14"/>
      <c r="L179" s="181"/>
      <c r="M179" s="182"/>
      <c r="N179" s="14"/>
      <c r="O179" s="14"/>
      <c r="P179" s="181"/>
      <c r="Q179" s="228"/>
      <c r="R179" s="228"/>
      <c r="S179" s="228"/>
      <c r="T179" s="182"/>
      <c r="U179" s="181"/>
      <c r="V179" s="182"/>
      <c r="W179" s="14"/>
      <c r="Y179" s="13" t="s">
        <v>40</v>
      </c>
      <c r="Z179" s="243"/>
      <c r="AA179" s="244"/>
      <c r="AB179" s="245"/>
      <c r="AC179" s="246"/>
    </row>
    <row r="180" spans="1:30" ht="16" thickBot="1" x14ac:dyDescent="0.25">
      <c r="A180" s="13" t="s">
        <v>40</v>
      </c>
      <c r="B180" s="181"/>
      <c r="C180" s="182"/>
      <c r="D180" s="181"/>
      <c r="E180" s="182"/>
      <c r="F180" s="181"/>
      <c r="G180" s="182"/>
      <c r="H180" s="181"/>
      <c r="I180" s="182"/>
      <c r="J180" s="14"/>
      <c r="K180" s="14"/>
      <c r="L180" s="181"/>
      <c r="M180" s="182"/>
      <c r="N180" s="14"/>
      <c r="O180" s="14"/>
      <c r="P180" s="181"/>
      <c r="Q180" s="228"/>
      <c r="R180" s="228"/>
      <c r="S180" s="228"/>
      <c r="T180" s="182"/>
      <c r="U180" s="181"/>
      <c r="V180" s="182"/>
      <c r="W180" s="14"/>
      <c r="Y180" s="13" t="s">
        <v>28</v>
      </c>
      <c r="Z180" s="243"/>
      <c r="AA180" s="244"/>
      <c r="AB180" s="245"/>
      <c r="AC180" s="246"/>
    </row>
    <row r="181" spans="1:30" ht="16" thickBot="1" x14ac:dyDescent="0.25">
      <c r="A181" s="13" t="s">
        <v>28</v>
      </c>
      <c r="B181" s="181"/>
      <c r="C181" s="182"/>
      <c r="D181" s="181"/>
      <c r="E181" s="182"/>
      <c r="F181" s="181"/>
      <c r="G181" s="182"/>
      <c r="H181" s="181"/>
      <c r="I181" s="182"/>
      <c r="J181" s="14"/>
      <c r="K181" s="14"/>
      <c r="L181" s="181"/>
      <c r="M181" s="182"/>
      <c r="N181" s="14"/>
      <c r="O181" s="14"/>
      <c r="P181" s="181"/>
      <c r="Q181" s="228"/>
      <c r="R181" s="228"/>
      <c r="S181" s="228"/>
      <c r="T181" s="182"/>
      <c r="U181" s="181"/>
      <c r="V181" s="182"/>
      <c r="W181" s="14"/>
      <c r="Y181" s="13" t="s">
        <v>36</v>
      </c>
      <c r="Z181" s="243"/>
      <c r="AA181" s="244"/>
      <c r="AB181" s="245"/>
      <c r="AC181" s="246"/>
    </row>
    <row r="182" spans="1:30" ht="16" thickBot="1" x14ac:dyDescent="0.25">
      <c r="A182" s="13" t="s">
        <v>31</v>
      </c>
      <c r="B182" s="181"/>
      <c r="C182" s="182"/>
      <c r="D182" s="181"/>
      <c r="E182" s="182"/>
      <c r="F182" s="181"/>
      <c r="G182" s="182"/>
      <c r="H182" s="181"/>
      <c r="I182" s="182"/>
      <c r="J182" s="14"/>
      <c r="K182" s="14"/>
      <c r="L182" s="181"/>
      <c r="M182" s="182"/>
      <c r="N182" s="14"/>
      <c r="O182" s="14"/>
      <c r="P182" s="181"/>
      <c r="Q182" s="228"/>
      <c r="R182" s="228"/>
      <c r="S182" s="228"/>
      <c r="T182" s="182"/>
      <c r="U182" s="181"/>
      <c r="V182" s="182"/>
      <c r="W182" s="14"/>
      <c r="Y182" s="13" t="s">
        <v>26</v>
      </c>
      <c r="Z182" s="243"/>
      <c r="AA182" s="244"/>
      <c r="AB182" s="245"/>
      <c r="AC182" s="246"/>
    </row>
    <row r="183" spans="1:30" ht="16" thickBot="1" x14ac:dyDescent="0.25">
      <c r="A183" s="13" t="s">
        <v>36</v>
      </c>
      <c r="B183" s="181"/>
      <c r="C183" s="182"/>
      <c r="D183" s="181"/>
      <c r="E183" s="182"/>
      <c r="F183" s="181"/>
      <c r="G183" s="182"/>
      <c r="H183" s="181"/>
      <c r="I183" s="182"/>
      <c r="J183" s="14"/>
      <c r="K183" s="14"/>
      <c r="L183" s="181"/>
      <c r="M183" s="182"/>
      <c r="N183" s="14"/>
      <c r="O183" s="14"/>
      <c r="P183" s="181"/>
      <c r="Q183" s="228"/>
      <c r="R183" s="228"/>
      <c r="S183" s="228"/>
      <c r="T183" s="182"/>
      <c r="U183" s="181"/>
      <c r="V183" s="182"/>
      <c r="W183" s="14"/>
      <c r="Y183" s="13" t="s">
        <v>35</v>
      </c>
      <c r="Z183" s="243"/>
      <c r="AA183" s="244"/>
      <c r="AB183" s="245"/>
      <c r="AC183" s="246"/>
    </row>
    <row r="184" spans="1:30" ht="16" thickBot="1" x14ac:dyDescent="0.25">
      <c r="A184" s="13" t="s">
        <v>26</v>
      </c>
      <c r="B184" s="181"/>
      <c r="C184" s="182"/>
      <c r="D184" s="181"/>
      <c r="E184" s="182"/>
      <c r="F184" s="181"/>
      <c r="G184" s="182"/>
      <c r="H184" s="181"/>
      <c r="I184" s="182"/>
      <c r="J184" s="14"/>
      <c r="K184" s="14"/>
      <c r="L184" s="181"/>
      <c r="M184" s="182"/>
      <c r="N184" s="14"/>
      <c r="O184" s="14"/>
      <c r="P184" s="181"/>
      <c r="Q184" s="228"/>
      <c r="R184" s="228"/>
      <c r="S184" s="228"/>
      <c r="T184" s="182"/>
      <c r="U184" s="181"/>
      <c r="V184" s="182"/>
      <c r="W184" s="14"/>
      <c r="Y184" s="13" t="s">
        <v>37</v>
      </c>
      <c r="Z184" s="247"/>
      <c r="AA184" s="248"/>
      <c r="AB184" s="241"/>
      <c r="AC184" s="242"/>
    </row>
    <row r="185" spans="1:30" ht="16" thickBot="1" x14ac:dyDescent="0.25">
      <c r="A185" s="13" t="s">
        <v>30</v>
      </c>
      <c r="B185" s="181"/>
      <c r="C185" s="182"/>
      <c r="D185" s="181"/>
      <c r="E185" s="182"/>
      <c r="F185" s="181"/>
      <c r="G185" s="182"/>
      <c r="H185" s="181"/>
      <c r="I185" s="182"/>
      <c r="J185" s="14"/>
      <c r="K185" s="14"/>
      <c r="L185" s="181"/>
      <c r="M185" s="182"/>
      <c r="N185" s="14"/>
      <c r="O185" s="14"/>
      <c r="P185" s="181"/>
      <c r="Q185" s="228"/>
      <c r="R185" s="228"/>
      <c r="S185" s="228"/>
      <c r="T185" s="182"/>
      <c r="U185" s="181"/>
      <c r="V185" s="182"/>
      <c r="W185" s="14"/>
      <c r="Y185" s="34" t="s">
        <v>71</v>
      </c>
      <c r="Z185" s="27"/>
      <c r="AA185" s="28"/>
      <c r="AB185" s="29"/>
      <c r="AC185" s="30"/>
    </row>
    <row r="186" spans="1:30" x14ac:dyDescent="0.2">
      <c r="A186" s="13" t="s">
        <v>35</v>
      </c>
      <c r="B186" s="181"/>
      <c r="C186" s="182"/>
      <c r="D186" s="181"/>
      <c r="E186" s="182"/>
      <c r="F186" s="181"/>
      <c r="G186" s="182"/>
      <c r="H186" s="181"/>
      <c r="I186" s="182"/>
      <c r="J186" s="14"/>
      <c r="K186" s="14"/>
      <c r="L186" s="181"/>
      <c r="M186" s="182"/>
      <c r="N186" s="14"/>
      <c r="O186" s="14"/>
      <c r="P186" s="181"/>
      <c r="Q186" s="228"/>
      <c r="R186" s="228"/>
      <c r="S186" s="228"/>
      <c r="T186" s="182"/>
      <c r="U186" s="181"/>
      <c r="V186" s="182"/>
      <c r="W186" s="14"/>
    </row>
    <row r="187" spans="1:30" x14ac:dyDescent="0.2">
      <c r="A187" s="13" t="s">
        <v>41</v>
      </c>
      <c r="B187" s="181"/>
      <c r="C187" s="182"/>
      <c r="D187" s="181"/>
      <c r="E187" s="182"/>
      <c r="F187" s="181"/>
      <c r="G187" s="182"/>
      <c r="H187" s="181"/>
      <c r="I187" s="182"/>
      <c r="J187" s="14"/>
      <c r="K187" s="14"/>
      <c r="L187" s="181"/>
      <c r="M187" s="182"/>
      <c r="N187" s="14"/>
      <c r="O187" s="14"/>
      <c r="P187" s="181"/>
      <c r="Q187" s="228"/>
      <c r="R187" s="228"/>
      <c r="S187" s="228"/>
      <c r="T187" s="182"/>
      <c r="U187" s="181"/>
      <c r="V187" s="182"/>
      <c r="W187" s="14"/>
    </row>
    <row r="188" spans="1:30" x14ac:dyDescent="0.2">
      <c r="A188" s="13" t="s">
        <v>37</v>
      </c>
      <c r="B188" s="181"/>
      <c r="C188" s="182"/>
      <c r="D188" s="181"/>
      <c r="E188" s="182"/>
      <c r="F188" s="181"/>
      <c r="G188" s="182"/>
      <c r="H188" s="181"/>
      <c r="I188" s="182"/>
      <c r="J188" s="14"/>
      <c r="K188" s="14"/>
      <c r="L188" s="181"/>
      <c r="M188" s="182"/>
      <c r="N188" s="14"/>
      <c r="O188" s="14"/>
      <c r="P188" s="181"/>
      <c r="Q188" s="228"/>
      <c r="R188" s="228"/>
      <c r="S188" s="228"/>
      <c r="T188" s="182"/>
      <c r="U188" s="181"/>
      <c r="V188" s="182"/>
      <c r="W188" s="14"/>
    </row>
    <row r="190" spans="1:30" x14ac:dyDescent="0.2">
      <c r="A190" s="229" t="s">
        <v>69</v>
      </c>
      <c r="B190" s="229"/>
      <c r="C190" s="229"/>
      <c r="D190" s="229"/>
      <c r="E190" s="229"/>
      <c r="F190" s="229"/>
      <c r="G190" s="229"/>
      <c r="H190" s="229"/>
      <c r="I190" s="229"/>
      <c r="J190" s="229"/>
      <c r="K190" s="229"/>
      <c r="L190" s="229"/>
      <c r="M190" s="229"/>
      <c r="N190" s="229"/>
      <c r="O190" s="229"/>
      <c r="P190" s="229"/>
      <c r="Q190" s="229"/>
      <c r="R190" s="229"/>
      <c r="S190" s="229"/>
      <c r="T190" s="229"/>
      <c r="U190" s="229"/>
      <c r="V190" s="229"/>
      <c r="W190" s="229"/>
      <c r="X190" s="229"/>
      <c r="Y190" s="229"/>
      <c r="Z190" s="229"/>
      <c r="AA190" s="229"/>
      <c r="AB190" s="229"/>
      <c r="AC190" s="229"/>
      <c r="AD190" s="229"/>
    </row>
    <row r="191" spans="1:30" ht="16" thickBot="1" x14ac:dyDescent="0.25">
      <c r="A191" s="229"/>
      <c r="B191" s="229"/>
      <c r="C191" s="229"/>
      <c r="D191" s="229"/>
      <c r="E191" s="229"/>
      <c r="F191" s="229"/>
      <c r="G191" s="229"/>
      <c r="H191" s="229"/>
      <c r="I191" s="229"/>
      <c r="J191" s="229"/>
      <c r="K191" s="229"/>
      <c r="L191" s="229"/>
      <c r="M191" s="229"/>
      <c r="N191" s="229"/>
      <c r="O191" s="229"/>
      <c r="P191" s="229"/>
      <c r="Q191" s="229"/>
      <c r="R191" s="229"/>
      <c r="S191" s="229"/>
      <c r="T191" s="229"/>
      <c r="U191" s="229"/>
      <c r="V191" s="229"/>
      <c r="W191" s="229"/>
      <c r="X191" s="229"/>
      <c r="Y191" s="229"/>
      <c r="Z191" s="229"/>
      <c r="AA191" s="229"/>
      <c r="AB191" s="229"/>
      <c r="AC191" s="229"/>
      <c r="AD191" s="229"/>
    </row>
    <row r="192" spans="1:30" ht="16" thickBot="1" x14ac:dyDescent="0.25">
      <c r="B192" s="142" t="s">
        <v>44</v>
      </c>
      <c r="C192" s="143"/>
      <c r="D192" s="142" t="s">
        <v>2</v>
      </c>
      <c r="E192" s="143"/>
      <c r="F192" s="142" t="s">
        <v>3</v>
      </c>
      <c r="G192" s="143"/>
      <c r="H192" s="142" t="s">
        <v>4</v>
      </c>
      <c r="I192" s="143"/>
      <c r="J192" s="150" t="s">
        <v>5</v>
      </c>
      <c r="K192" s="150" t="s">
        <v>6</v>
      </c>
      <c r="L192" s="158" t="s">
        <v>7</v>
      </c>
      <c r="M192" s="159"/>
      <c r="N192" s="150" t="s">
        <v>8</v>
      </c>
      <c r="O192" s="150" t="s">
        <v>9</v>
      </c>
      <c r="P192" s="142" t="s">
        <v>45</v>
      </c>
      <c r="Q192" s="156"/>
      <c r="R192" s="156"/>
      <c r="S192" s="156"/>
      <c r="T192" s="143"/>
      <c r="U192" s="138" t="s">
        <v>13</v>
      </c>
      <c r="V192" s="139"/>
      <c r="W192" s="15" t="s">
        <v>14</v>
      </c>
      <c r="Z192" s="130" t="s">
        <v>58</v>
      </c>
      <c r="AA192" s="131"/>
      <c r="AB192" s="131"/>
      <c r="AC192" s="132"/>
    </row>
    <row r="193" spans="1:29" ht="16" thickBot="1" x14ac:dyDescent="0.25">
      <c r="B193" s="230"/>
      <c r="C193" s="231"/>
      <c r="D193" s="230"/>
      <c r="E193" s="231"/>
      <c r="F193" s="230"/>
      <c r="G193" s="231"/>
      <c r="H193" s="230"/>
      <c r="I193" s="231"/>
      <c r="J193" s="232"/>
      <c r="K193" s="232"/>
      <c r="L193" s="233"/>
      <c r="M193" s="234"/>
      <c r="N193" s="232"/>
      <c r="O193" s="232"/>
      <c r="P193" s="230"/>
      <c r="Q193" s="235"/>
      <c r="R193" s="235"/>
      <c r="S193" s="235"/>
      <c r="T193" s="231"/>
      <c r="U193" s="236"/>
      <c r="V193" s="237"/>
      <c r="W193" s="18" t="s">
        <v>17</v>
      </c>
      <c r="Z193" s="238" t="s">
        <v>59</v>
      </c>
      <c r="AA193" s="239"/>
      <c r="AB193" s="240" t="s">
        <v>60</v>
      </c>
      <c r="AC193" s="136"/>
    </row>
    <row r="194" spans="1:29" ht="16" thickBot="1" x14ac:dyDescent="0.25">
      <c r="A194" s="13" t="s">
        <v>34</v>
      </c>
      <c r="B194" s="137"/>
      <c r="C194" s="137"/>
      <c r="D194" s="137"/>
      <c r="E194" s="137"/>
      <c r="F194" s="137"/>
      <c r="G194" s="137"/>
      <c r="H194" s="137"/>
      <c r="I194" s="137"/>
      <c r="J194" s="14"/>
      <c r="K194" s="14"/>
      <c r="L194" s="137"/>
      <c r="M194" s="137"/>
      <c r="N194" s="14"/>
      <c r="O194" s="14"/>
      <c r="P194" s="137"/>
      <c r="Q194" s="137"/>
      <c r="R194" s="137"/>
      <c r="S194" s="137"/>
      <c r="T194" s="137"/>
      <c r="U194" s="137"/>
      <c r="V194" s="137"/>
      <c r="W194" s="14"/>
      <c r="Y194" s="31" t="s">
        <v>32</v>
      </c>
      <c r="Z194" s="23"/>
      <c r="AA194" s="24"/>
      <c r="AB194" s="32"/>
      <c r="AC194" s="33"/>
    </row>
    <row r="195" spans="1:29" ht="16" thickBot="1" x14ac:dyDescent="0.25">
      <c r="A195" s="13" t="s">
        <v>32</v>
      </c>
      <c r="B195" s="181"/>
      <c r="C195" s="182"/>
      <c r="D195" s="137"/>
      <c r="E195" s="137"/>
      <c r="F195" s="137"/>
      <c r="G195" s="137"/>
      <c r="H195" s="137"/>
      <c r="I195" s="137"/>
      <c r="J195" s="14"/>
      <c r="K195" s="14"/>
      <c r="L195" s="137"/>
      <c r="M195" s="137"/>
      <c r="N195" s="14"/>
      <c r="O195" s="14"/>
      <c r="P195" s="137"/>
      <c r="Q195" s="137"/>
      <c r="R195" s="137"/>
      <c r="S195" s="137"/>
      <c r="T195" s="137"/>
      <c r="U195" s="137"/>
      <c r="V195" s="137"/>
      <c r="W195" s="14"/>
      <c r="Y195" s="13" t="s">
        <v>34</v>
      </c>
      <c r="Z195" s="23"/>
      <c r="AA195" s="24"/>
      <c r="AB195" s="241"/>
      <c r="AC195" s="242"/>
    </row>
    <row r="196" spans="1:29" ht="16" thickBot="1" x14ac:dyDescent="0.25">
      <c r="A196" s="13" t="s">
        <v>33</v>
      </c>
      <c r="B196" s="137"/>
      <c r="C196" s="137"/>
      <c r="D196" s="137"/>
      <c r="E196" s="137"/>
      <c r="F196" s="137"/>
      <c r="G196" s="137"/>
      <c r="H196" s="137"/>
      <c r="I196" s="137"/>
      <c r="J196" s="14"/>
      <c r="K196" s="14"/>
      <c r="L196" s="137"/>
      <c r="M196" s="137"/>
      <c r="N196" s="14"/>
      <c r="O196" s="14"/>
      <c r="P196" s="137"/>
      <c r="Q196" s="137"/>
      <c r="R196" s="137"/>
      <c r="S196" s="137"/>
      <c r="T196" s="137"/>
      <c r="U196" s="137"/>
      <c r="V196" s="137"/>
      <c r="W196" s="14"/>
      <c r="Y196" s="13" t="s">
        <v>38</v>
      </c>
      <c r="Z196" s="23"/>
      <c r="AA196" s="24"/>
      <c r="AB196" s="25"/>
      <c r="AC196" s="26"/>
    </row>
    <row r="197" spans="1:29" ht="16" thickBot="1" x14ac:dyDescent="0.25">
      <c r="A197" s="13" t="s">
        <v>38</v>
      </c>
      <c r="B197" s="137"/>
      <c r="C197" s="137"/>
      <c r="D197" s="137"/>
      <c r="E197" s="137"/>
      <c r="F197" s="137"/>
      <c r="G197" s="137"/>
      <c r="H197" s="137"/>
      <c r="I197" s="137"/>
      <c r="J197" s="14"/>
      <c r="K197" s="14"/>
      <c r="L197" s="137"/>
      <c r="M197" s="137"/>
      <c r="N197" s="14"/>
      <c r="O197" s="14"/>
      <c r="P197" s="137"/>
      <c r="Q197" s="137"/>
      <c r="R197" s="137"/>
      <c r="S197" s="137"/>
      <c r="T197" s="137"/>
      <c r="U197" s="137"/>
      <c r="V197" s="137"/>
      <c r="W197" s="14"/>
      <c r="Y197" s="13" t="s">
        <v>27</v>
      </c>
      <c r="Z197" s="23"/>
      <c r="AA197" s="24"/>
      <c r="AB197" s="25"/>
      <c r="AC197" s="26"/>
    </row>
    <row r="198" spans="1:29" ht="16" thickBot="1" x14ac:dyDescent="0.25">
      <c r="A198" s="13" t="s">
        <v>27</v>
      </c>
      <c r="B198" s="137"/>
      <c r="C198" s="137"/>
      <c r="D198" s="137"/>
      <c r="E198" s="137"/>
      <c r="F198" s="137"/>
      <c r="G198" s="137"/>
      <c r="H198" s="137"/>
      <c r="I198" s="137"/>
      <c r="J198" s="14"/>
      <c r="K198" s="14"/>
      <c r="L198" s="137"/>
      <c r="M198" s="137"/>
      <c r="N198" s="14"/>
      <c r="O198" s="14"/>
      <c r="P198" s="137"/>
      <c r="Q198" s="137"/>
      <c r="R198" s="137"/>
      <c r="S198" s="137"/>
      <c r="T198" s="137"/>
      <c r="U198" s="137"/>
      <c r="V198" s="137"/>
      <c r="W198" s="14"/>
      <c r="Y198" s="13" t="s">
        <v>25</v>
      </c>
      <c r="Z198" s="23"/>
      <c r="AA198" s="24"/>
      <c r="AB198" s="25"/>
      <c r="AC198" s="26"/>
    </row>
    <row r="199" spans="1:29" ht="16" thickBot="1" x14ac:dyDescent="0.25">
      <c r="A199" s="13" t="s">
        <v>25</v>
      </c>
      <c r="B199" s="137"/>
      <c r="C199" s="137"/>
      <c r="D199" s="137"/>
      <c r="E199" s="137"/>
      <c r="F199" s="137"/>
      <c r="G199" s="137"/>
      <c r="H199" s="137"/>
      <c r="I199" s="137"/>
      <c r="J199" s="14"/>
      <c r="K199" s="14"/>
      <c r="L199" s="137"/>
      <c r="M199" s="137"/>
      <c r="N199" s="14"/>
      <c r="O199" s="14"/>
      <c r="P199" s="137"/>
      <c r="Q199" s="137"/>
      <c r="R199" s="137"/>
      <c r="S199" s="137"/>
      <c r="T199" s="137"/>
      <c r="U199" s="137"/>
      <c r="V199" s="137"/>
      <c r="W199" s="14"/>
      <c r="Y199" s="13" t="s">
        <v>39</v>
      </c>
      <c r="Z199" s="23"/>
      <c r="AA199" s="24"/>
      <c r="AB199" s="25"/>
      <c r="AC199" s="26"/>
    </row>
    <row r="200" spans="1:29" ht="16" thickBot="1" x14ac:dyDescent="0.25">
      <c r="A200" s="13" t="s">
        <v>39</v>
      </c>
      <c r="B200" s="137"/>
      <c r="C200" s="137"/>
      <c r="D200" s="137"/>
      <c r="E200" s="137"/>
      <c r="F200" s="137"/>
      <c r="G200" s="137"/>
      <c r="H200" s="137"/>
      <c r="I200" s="137"/>
      <c r="J200" s="14"/>
      <c r="K200" s="14"/>
      <c r="L200" s="137"/>
      <c r="M200" s="137"/>
      <c r="N200" s="14"/>
      <c r="O200" s="14"/>
      <c r="P200" s="137"/>
      <c r="Q200" s="137"/>
      <c r="R200" s="137"/>
      <c r="S200" s="137"/>
      <c r="T200" s="137"/>
      <c r="U200" s="137"/>
      <c r="V200" s="137"/>
      <c r="W200" s="14"/>
      <c r="Y200" s="13" t="s">
        <v>40</v>
      </c>
      <c r="Z200" s="23"/>
      <c r="AA200" s="24"/>
      <c r="AB200" s="25"/>
      <c r="AC200" s="26"/>
    </row>
    <row r="201" spans="1:29" ht="16" thickBot="1" x14ac:dyDescent="0.25">
      <c r="A201" s="13" t="s">
        <v>40</v>
      </c>
      <c r="B201" s="137"/>
      <c r="C201" s="137"/>
      <c r="D201" s="137"/>
      <c r="E201" s="137"/>
      <c r="F201" s="137"/>
      <c r="G201" s="137"/>
      <c r="H201" s="137"/>
      <c r="I201" s="137"/>
      <c r="J201" s="14"/>
      <c r="K201" s="14"/>
      <c r="L201" s="137"/>
      <c r="M201" s="137"/>
      <c r="N201" s="14"/>
      <c r="O201" s="14"/>
      <c r="P201" s="137"/>
      <c r="Q201" s="137"/>
      <c r="R201" s="137"/>
      <c r="S201" s="137"/>
      <c r="T201" s="137"/>
      <c r="U201" s="137"/>
      <c r="V201" s="137"/>
      <c r="W201" s="14"/>
      <c r="Y201" s="13" t="s">
        <v>28</v>
      </c>
      <c r="Z201" s="23"/>
      <c r="AA201" s="24"/>
      <c r="AB201" s="25"/>
      <c r="AC201" s="26"/>
    </row>
    <row r="202" spans="1:29" ht="16" thickBot="1" x14ac:dyDescent="0.25">
      <c r="A202" s="13" t="s">
        <v>28</v>
      </c>
      <c r="B202" s="137"/>
      <c r="C202" s="137"/>
      <c r="D202" s="137"/>
      <c r="E202" s="137"/>
      <c r="F202" s="137"/>
      <c r="G202" s="137"/>
      <c r="H202" s="137"/>
      <c r="I202" s="137"/>
      <c r="J202" s="14"/>
      <c r="K202" s="14"/>
      <c r="L202" s="137"/>
      <c r="M202" s="137"/>
      <c r="N202" s="14"/>
      <c r="O202" s="14"/>
      <c r="P202" s="137"/>
      <c r="Q202" s="137"/>
      <c r="R202" s="137"/>
      <c r="S202" s="137"/>
      <c r="T202" s="137"/>
      <c r="U202" s="137"/>
      <c r="V202" s="137"/>
      <c r="W202" s="14"/>
      <c r="Y202" s="13" t="s">
        <v>36</v>
      </c>
      <c r="Z202" s="23"/>
      <c r="AA202" s="24"/>
      <c r="AB202" s="25"/>
      <c r="AC202" s="26"/>
    </row>
    <row r="203" spans="1:29" ht="16" thickBot="1" x14ac:dyDescent="0.25">
      <c r="A203" s="13" t="s">
        <v>31</v>
      </c>
      <c r="B203" s="137"/>
      <c r="C203" s="137"/>
      <c r="D203" s="137"/>
      <c r="E203" s="137"/>
      <c r="F203" s="137"/>
      <c r="G203" s="137"/>
      <c r="H203" s="137"/>
      <c r="I203" s="137"/>
      <c r="J203" s="14"/>
      <c r="K203" s="14"/>
      <c r="L203" s="137"/>
      <c r="M203" s="137"/>
      <c r="N203" s="14"/>
      <c r="O203" s="14"/>
      <c r="P203" s="137"/>
      <c r="Q203" s="137"/>
      <c r="R203" s="137"/>
      <c r="S203" s="137"/>
      <c r="T203" s="137"/>
      <c r="U203" s="137"/>
      <c r="V203" s="137"/>
      <c r="W203" s="14"/>
      <c r="Y203" s="13" t="s">
        <v>26</v>
      </c>
      <c r="Z203" s="23"/>
      <c r="AA203" s="24"/>
      <c r="AB203" s="25"/>
      <c r="AC203" s="26"/>
    </row>
    <row r="204" spans="1:29" ht="16" thickBot="1" x14ac:dyDescent="0.25">
      <c r="A204" s="13" t="s">
        <v>36</v>
      </c>
      <c r="B204" s="137"/>
      <c r="C204" s="137"/>
      <c r="D204" s="137"/>
      <c r="E204" s="137"/>
      <c r="F204" s="137"/>
      <c r="G204" s="137"/>
      <c r="H204" s="137"/>
      <c r="I204" s="137"/>
      <c r="J204" s="14"/>
      <c r="K204" s="14"/>
      <c r="L204" s="137"/>
      <c r="M204" s="137"/>
      <c r="N204" s="14"/>
      <c r="O204" s="14"/>
      <c r="P204" s="137"/>
      <c r="Q204" s="137"/>
      <c r="R204" s="137"/>
      <c r="S204" s="137"/>
      <c r="T204" s="137"/>
      <c r="U204" s="137"/>
      <c r="V204" s="137"/>
      <c r="W204" s="14"/>
      <c r="Y204" s="13" t="s">
        <v>35</v>
      </c>
      <c r="Z204" s="23"/>
      <c r="AA204" s="24"/>
      <c r="AB204" s="25"/>
      <c r="AC204" s="26"/>
    </row>
    <row r="205" spans="1:29" ht="16" thickBot="1" x14ac:dyDescent="0.25">
      <c r="A205" s="13" t="s">
        <v>26</v>
      </c>
      <c r="B205" s="137"/>
      <c r="C205" s="137"/>
      <c r="D205" s="137"/>
      <c r="E205" s="137"/>
      <c r="F205" s="137"/>
      <c r="G205" s="137"/>
      <c r="H205" s="137"/>
      <c r="I205" s="137"/>
      <c r="J205" s="14"/>
      <c r="K205" s="14"/>
      <c r="L205" s="137"/>
      <c r="M205" s="137"/>
      <c r="N205" s="14"/>
      <c r="O205" s="14"/>
      <c r="P205" s="137"/>
      <c r="Q205" s="137"/>
      <c r="R205" s="137"/>
      <c r="S205" s="137"/>
      <c r="T205" s="137"/>
      <c r="U205" s="137"/>
      <c r="V205" s="137"/>
      <c r="W205" s="14"/>
      <c r="Y205" s="13" t="s">
        <v>37</v>
      </c>
      <c r="Z205" s="27"/>
      <c r="AA205" s="28"/>
      <c r="AB205" s="29"/>
      <c r="AC205" s="30"/>
    </row>
    <row r="206" spans="1:29" ht="16" thickBot="1" x14ac:dyDescent="0.25">
      <c r="A206" s="13" t="s">
        <v>30</v>
      </c>
      <c r="B206" s="137"/>
      <c r="C206" s="137"/>
      <c r="D206" s="137"/>
      <c r="E206" s="137"/>
      <c r="F206" s="137"/>
      <c r="G206" s="137"/>
      <c r="H206" s="137"/>
      <c r="I206" s="137"/>
      <c r="J206" s="14"/>
      <c r="K206" s="14"/>
      <c r="L206" s="137"/>
      <c r="M206" s="137"/>
      <c r="N206" s="14"/>
      <c r="O206" s="14"/>
      <c r="P206" s="137"/>
      <c r="Q206" s="137"/>
      <c r="R206" s="137"/>
      <c r="S206" s="137"/>
      <c r="T206" s="137"/>
      <c r="U206" s="137"/>
      <c r="V206" s="137"/>
      <c r="W206" s="14"/>
      <c r="Y206" s="34" t="s">
        <v>71</v>
      </c>
      <c r="Z206" s="27"/>
      <c r="AA206" s="28"/>
      <c r="AB206" s="29"/>
      <c r="AC206" s="30"/>
    </row>
    <row r="207" spans="1:29" x14ac:dyDescent="0.2">
      <c r="A207" s="13" t="s">
        <v>35</v>
      </c>
      <c r="B207" s="137"/>
      <c r="C207" s="137"/>
      <c r="D207" s="137"/>
      <c r="E207" s="137"/>
      <c r="F207" s="137"/>
      <c r="G207" s="137"/>
      <c r="H207" s="137"/>
      <c r="I207" s="137"/>
      <c r="J207" s="14"/>
      <c r="K207" s="14"/>
      <c r="L207" s="137"/>
      <c r="M207" s="137"/>
      <c r="N207" s="14"/>
      <c r="O207" s="14"/>
      <c r="P207" s="137"/>
      <c r="Q207" s="137"/>
      <c r="R207" s="137"/>
      <c r="S207" s="137"/>
      <c r="T207" s="137"/>
      <c r="U207" s="137"/>
      <c r="V207" s="137"/>
      <c r="W207" s="14"/>
    </row>
    <row r="208" spans="1:29" x14ac:dyDescent="0.2">
      <c r="A208" s="13" t="s">
        <v>41</v>
      </c>
      <c r="B208" s="137"/>
      <c r="C208" s="137"/>
      <c r="D208" s="137"/>
      <c r="E208" s="137"/>
      <c r="F208" s="137"/>
      <c r="G208" s="137"/>
      <c r="H208" s="137"/>
      <c r="I208" s="137"/>
      <c r="J208" s="14"/>
      <c r="K208" s="14"/>
      <c r="L208" s="137"/>
      <c r="M208" s="137"/>
      <c r="N208" s="14"/>
      <c r="O208" s="14"/>
      <c r="P208" s="137"/>
      <c r="Q208" s="137"/>
      <c r="R208" s="137"/>
      <c r="S208" s="137"/>
      <c r="T208" s="137"/>
      <c r="U208" s="137"/>
      <c r="V208" s="137"/>
      <c r="W208" s="14"/>
    </row>
    <row r="209" spans="1:30" x14ac:dyDescent="0.2">
      <c r="A209" s="13" t="s">
        <v>37</v>
      </c>
      <c r="B209" s="137"/>
      <c r="C209" s="137"/>
      <c r="D209" s="137"/>
      <c r="E209" s="137"/>
      <c r="F209" s="137"/>
      <c r="G209" s="137"/>
      <c r="H209" s="137"/>
      <c r="I209" s="137"/>
      <c r="J209" s="14"/>
      <c r="K209" s="14"/>
      <c r="L209" s="137"/>
      <c r="M209" s="137"/>
      <c r="N209" s="14"/>
      <c r="O209" s="14"/>
      <c r="P209" s="137"/>
      <c r="Q209" s="137"/>
      <c r="R209" s="137"/>
      <c r="S209" s="137"/>
      <c r="T209" s="137"/>
      <c r="U209" s="137"/>
      <c r="V209" s="137"/>
      <c r="W209" s="14"/>
    </row>
    <row r="211" spans="1:30" x14ac:dyDescent="0.2">
      <c r="A211" s="229" t="s">
        <v>85</v>
      </c>
      <c r="B211" s="229"/>
      <c r="C211" s="229"/>
      <c r="D211" s="229"/>
      <c r="E211" s="229"/>
      <c r="F211" s="229"/>
      <c r="G211" s="229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R211" s="229"/>
      <c r="S211" s="229"/>
      <c r="T211" s="229"/>
      <c r="U211" s="229"/>
      <c r="V211" s="229"/>
      <c r="W211" s="229"/>
      <c r="X211" s="229"/>
      <c r="Y211" s="229"/>
      <c r="Z211" s="229"/>
      <c r="AA211" s="229"/>
      <c r="AB211" s="229"/>
      <c r="AC211" s="229"/>
      <c r="AD211" s="229"/>
    </row>
    <row r="212" spans="1:30" ht="16" thickBot="1" x14ac:dyDescent="0.25">
      <c r="A212" s="229"/>
      <c r="B212" s="229"/>
      <c r="C212" s="229"/>
      <c r="D212" s="229"/>
      <c r="E212" s="229"/>
      <c r="F212" s="229"/>
      <c r="G212" s="229"/>
      <c r="H212" s="229"/>
      <c r="I212" s="229"/>
      <c r="J212" s="229"/>
      <c r="K212" s="229"/>
      <c r="L212" s="229"/>
      <c r="M212" s="229"/>
      <c r="N212" s="229"/>
      <c r="O212" s="229"/>
      <c r="P212" s="229"/>
      <c r="Q212" s="229"/>
      <c r="R212" s="229"/>
      <c r="S212" s="229"/>
      <c r="T212" s="229"/>
      <c r="U212" s="229"/>
      <c r="V212" s="229"/>
      <c r="W212" s="229"/>
      <c r="X212" s="229"/>
      <c r="Y212" s="229"/>
      <c r="Z212" s="229"/>
      <c r="AA212" s="229"/>
      <c r="AB212" s="229"/>
      <c r="AC212" s="229"/>
      <c r="AD212" s="229"/>
    </row>
    <row r="213" spans="1:30" ht="16" thickBot="1" x14ac:dyDescent="0.25">
      <c r="B213" s="142" t="s">
        <v>44</v>
      </c>
      <c r="C213" s="143"/>
      <c r="D213" s="142" t="s">
        <v>2</v>
      </c>
      <c r="E213" s="143"/>
      <c r="F213" s="142" t="s">
        <v>3</v>
      </c>
      <c r="G213" s="143"/>
      <c r="H213" s="142" t="s">
        <v>4</v>
      </c>
      <c r="I213" s="143"/>
      <c r="J213" s="150" t="s">
        <v>5</v>
      </c>
      <c r="K213" s="150" t="s">
        <v>6</v>
      </c>
      <c r="L213" s="158" t="s">
        <v>7</v>
      </c>
      <c r="M213" s="159"/>
      <c r="N213" s="150" t="s">
        <v>8</v>
      </c>
      <c r="O213" s="150" t="s">
        <v>9</v>
      </c>
      <c r="P213" s="142" t="s">
        <v>45</v>
      </c>
      <c r="Q213" s="156"/>
      <c r="R213" s="156"/>
      <c r="S213" s="156"/>
      <c r="T213" s="143"/>
      <c r="U213" s="138" t="s">
        <v>13</v>
      </c>
      <c r="V213" s="139"/>
      <c r="W213" s="15" t="s">
        <v>14</v>
      </c>
      <c r="Z213" s="130" t="s">
        <v>58</v>
      </c>
      <c r="AA213" s="131"/>
      <c r="AB213" s="131"/>
      <c r="AC213" s="132"/>
    </row>
    <row r="214" spans="1:30" ht="16" thickBot="1" x14ac:dyDescent="0.25">
      <c r="B214" s="230"/>
      <c r="C214" s="231"/>
      <c r="D214" s="230"/>
      <c r="E214" s="231"/>
      <c r="F214" s="230"/>
      <c r="G214" s="231"/>
      <c r="H214" s="230"/>
      <c r="I214" s="231"/>
      <c r="J214" s="232"/>
      <c r="K214" s="232"/>
      <c r="L214" s="233"/>
      <c r="M214" s="234"/>
      <c r="N214" s="232"/>
      <c r="O214" s="232"/>
      <c r="P214" s="230"/>
      <c r="Q214" s="235"/>
      <c r="R214" s="235"/>
      <c r="S214" s="235"/>
      <c r="T214" s="231"/>
      <c r="U214" s="236"/>
      <c r="V214" s="237"/>
      <c r="W214" s="18" t="s">
        <v>17</v>
      </c>
      <c r="Z214" s="238" t="s">
        <v>59</v>
      </c>
      <c r="AA214" s="239"/>
      <c r="AB214" s="240" t="s">
        <v>60</v>
      </c>
      <c r="AC214" s="136"/>
    </row>
    <row r="215" spans="1:30" ht="16" thickBot="1" x14ac:dyDescent="0.25">
      <c r="A215" s="13" t="s">
        <v>34</v>
      </c>
      <c r="B215" s="181"/>
      <c r="C215" s="182"/>
      <c r="D215" s="181"/>
      <c r="E215" s="182"/>
      <c r="F215" s="181"/>
      <c r="G215" s="182"/>
      <c r="H215" s="181"/>
      <c r="I215" s="182"/>
      <c r="J215" s="14"/>
      <c r="K215" s="14"/>
      <c r="L215" s="181"/>
      <c r="M215" s="182"/>
      <c r="N215" s="14"/>
      <c r="O215" s="14"/>
      <c r="P215" s="181"/>
      <c r="Q215" s="228"/>
      <c r="R215" s="228"/>
      <c r="S215" s="228"/>
      <c r="T215" s="182"/>
      <c r="U215" s="181"/>
      <c r="V215" s="182"/>
      <c r="W215" s="14"/>
      <c r="Y215" s="31" t="s">
        <v>32</v>
      </c>
      <c r="Z215" s="23"/>
      <c r="AA215" s="24"/>
      <c r="AB215" s="32"/>
      <c r="AC215" s="33"/>
    </row>
    <row r="216" spans="1:30" ht="16" thickBot="1" x14ac:dyDescent="0.25">
      <c r="A216" s="13" t="s">
        <v>32</v>
      </c>
      <c r="B216" s="181"/>
      <c r="C216" s="182"/>
      <c r="D216" s="181"/>
      <c r="E216" s="182"/>
      <c r="F216" s="181"/>
      <c r="G216" s="182"/>
      <c r="H216" s="181"/>
      <c r="I216" s="182"/>
      <c r="J216" s="14"/>
      <c r="K216" s="14"/>
      <c r="L216" s="181"/>
      <c r="M216" s="182"/>
      <c r="N216" s="14"/>
      <c r="O216" s="14"/>
      <c r="P216" s="181"/>
      <c r="Q216" s="228"/>
      <c r="R216" s="228"/>
      <c r="S216" s="228"/>
      <c r="T216" s="182"/>
      <c r="U216" s="181"/>
      <c r="V216" s="182"/>
      <c r="W216" s="14"/>
      <c r="Y216" s="13" t="s">
        <v>34</v>
      </c>
      <c r="Z216" s="23"/>
      <c r="AA216" s="24"/>
      <c r="AB216" s="241"/>
      <c r="AC216" s="242"/>
    </row>
    <row r="217" spans="1:30" ht="16" thickBot="1" x14ac:dyDescent="0.25">
      <c r="A217" s="13" t="s">
        <v>33</v>
      </c>
      <c r="B217" s="181"/>
      <c r="C217" s="182"/>
      <c r="D217" s="181"/>
      <c r="E217" s="182"/>
      <c r="F217" s="181"/>
      <c r="G217" s="182"/>
      <c r="H217" s="181"/>
      <c r="I217" s="182"/>
      <c r="J217" s="14"/>
      <c r="K217" s="14"/>
      <c r="L217" s="181"/>
      <c r="M217" s="182"/>
      <c r="N217" s="14"/>
      <c r="O217" s="14"/>
      <c r="P217" s="181"/>
      <c r="Q217" s="228"/>
      <c r="R217" s="228"/>
      <c r="S217" s="228"/>
      <c r="T217" s="182"/>
      <c r="U217" s="181"/>
      <c r="V217" s="182"/>
      <c r="W217" s="14"/>
      <c r="Y217" s="13" t="s">
        <v>38</v>
      </c>
      <c r="Z217" s="23"/>
      <c r="AA217" s="24"/>
      <c r="AB217" s="25"/>
      <c r="AC217" s="26"/>
    </row>
    <row r="218" spans="1:30" ht="16" thickBot="1" x14ac:dyDescent="0.25">
      <c r="A218" s="13" t="s">
        <v>38</v>
      </c>
      <c r="B218" s="181"/>
      <c r="C218" s="182"/>
      <c r="D218" s="181"/>
      <c r="E218" s="182"/>
      <c r="F218" s="181"/>
      <c r="G218" s="182"/>
      <c r="H218" s="181"/>
      <c r="I218" s="182"/>
      <c r="J218" s="14"/>
      <c r="K218" s="14"/>
      <c r="L218" s="181"/>
      <c r="M218" s="182"/>
      <c r="N218" s="14"/>
      <c r="O218" s="14"/>
      <c r="P218" s="181"/>
      <c r="Q218" s="228"/>
      <c r="R218" s="228"/>
      <c r="S218" s="228"/>
      <c r="T218" s="182"/>
      <c r="U218" s="181"/>
      <c r="V218" s="182"/>
      <c r="W218" s="14"/>
      <c r="Y218" s="13" t="s">
        <v>27</v>
      </c>
      <c r="Z218" s="23"/>
      <c r="AA218" s="24"/>
      <c r="AB218" s="25"/>
      <c r="AC218" s="26"/>
    </row>
    <row r="219" spans="1:30" ht="16" thickBot="1" x14ac:dyDescent="0.25">
      <c r="A219" s="13" t="s">
        <v>27</v>
      </c>
      <c r="B219" s="181"/>
      <c r="C219" s="182"/>
      <c r="D219" s="181"/>
      <c r="E219" s="182"/>
      <c r="F219" s="181"/>
      <c r="G219" s="182"/>
      <c r="H219" s="181"/>
      <c r="I219" s="182"/>
      <c r="J219" s="14"/>
      <c r="K219" s="14"/>
      <c r="L219" s="181"/>
      <c r="M219" s="182"/>
      <c r="N219" s="14"/>
      <c r="O219" s="14"/>
      <c r="P219" s="181"/>
      <c r="Q219" s="228"/>
      <c r="R219" s="228"/>
      <c r="S219" s="228"/>
      <c r="T219" s="182"/>
      <c r="U219" s="181"/>
      <c r="V219" s="182"/>
      <c r="W219" s="14"/>
      <c r="Y219" s="13" t="s">
        <v>25</v>
      </c>
      <c r="Z219" s="23"/>
      <c r="AA219" s="24"/>
      <c r="AB219" s="25"/>
      <c r="AC219" s="26"/>
    </row>
    <row r="220" spans="1:30" ht="16" thickBot="1" x14ac:dyDescent="0.25">
      <c r="A220" s="13" t="s">
        <v>25</v>
      </c>
      <c r="B220" s="181"/>
      <c r="C220" s="182"/>
      <c r="D220" s="181"/>
      <c r="E220" s="182"/>
      <c r="F220" s="181"/>
      <c r="G220" s="182"/>
      <c r="H220" s="181"/>
      <c r="I220" s="182"/>
      <c r="J220" s="14"/>
      <c r="K220" s="14"/>
      <c r="L220" s="181"/>
      <c r="M220" s="182"/>
      <c r="N220" s="14"/>
      <c r="O220" s="14"/>
      <c r="P220" s="181"/>
      <c r="Q220" s="228"/>
      <c r="R220" s="228"/>
      <c r="S220" s="228"/>
      <c r="T220" s="182"/>
      <c r="U220" s="181"/>
      <c r="V220" s="182"/>
      <c r="W220" s="14"/>
      <c r="Y220" s="13" t="s">
        <v>39</v>
      </c>
      <c r="Z220" s="23"/>
      <c r="AA220" s="24"/>
      <c r="AB220" s="25"/>
      <c r="AC220" s="26"/>
    </row>
    <row r="221" spans="1:30" ht="16" thickBot="1" x14ac:dyDescent="0.25">
      <c r="A221" s="13" t="s">
        <v>39</v>
      </c>
      <c r="B221" s="181"/>
      <c r="C221" s="182"/>
      <c r="D221" s="181"/>
      <c r="E221" s="182"/>
      <c r="F221" s="181"/>
      <c r="G221" s="182"/>
      <c r="H221" s="181"/>
      <c r="I221" s="182"/>
      <c r="J221" s="14"/>
      <c r="K221" s="14"/>
      <c r="L221" s="181"/>
      <c r="M221" s="182"/>
      <c r="N221" s="14"/>
      <c r="O221" s="14"/>
      <c r="P221" s="181"/>
      <c r="Q221" s="228"/>
      <c r="R221" s="228"/>
      <c r="S221" s="228"/>
      <c r="T221" s="182"/>
      <c r="U221" s="181"/>
      <c r="V221" s="182"/>
      <c r="W221" s="14"/>
      <c r="Y221" s="13" t="s">
        <v>40</v>
      </c>
      <c r="Z221" s="23"/>
      <c r="AA221" s="24"/>
      <c r="AB221" s="25"/>
      <c r="AC221" s="26"/>
    </row>
    <row r="222" spans="1:30" ht="16" thickBot="1" x14ac:dyDescent="0.25">
      <c r="A222" s="13" t="s">
        <v>40</v>
      </c>
      <c r="B222" s="181"/>
      <c r="C222" s="182"/>
      <c r="D222" s="181"/>
      <c r="E222" s="182"/>
      <c r="F222" s="181"/>
      <c r="G222" s="182"/>
      <c r="H222" s="181"/>
      <c r="I222" s="182"/>
      <c r="J222" s="14"/>
      <c r="K222" s="14"/>
      <c r="L222" s="181"/>
      <c r="M222" s="182"/>
      <c r="N222" s="14"/>
      <c r="O222" s="14"/>
      <c r="P222" s="181"/>
      <c r="Q222" s="228"/>
      <c r="R222" s="228"/>
      <c r="S222" s="228"/>
      <c r="T222" s="182"/>
      <c r="U222" s="181"/>
      <c r="V222" s="182"/>
      <c r="W222" s="14"/>
      <c r="Y222" s="13" t="s">
        <v>28</v>
      </c>
      <c r="Z222" s="23"/>
      <c r="AA222" s="24"/>
      <c r="AB222" s="25"/>
      <c r="AC222" s="26"/>
    </row>
    <row r="223" spans="1:30" ht="16" thickBot="1" x14ac:dyDescent="0.25">
      <c r="A223" s="13" t="s">
        <v>28</v>
      </c>
      <c r="B223" s="181"/>
      <c r="C223" s="182"/>
      <c r="D223" s="181"/>
      <c r="E223" s="182"/>
      <c r="F223" s="181"/>
      <c r="G223" s="182"/>
      <c r="H223" s="181"/>
      <c r="I223" s="182"/>
      <c r="J223" s="14"/>
      <c r="K223" s="14"/>
      <c r="L223" s="181"/>
      <c r="M223" s="182"/>
      <c r="N223" s="14"/>
      <c r="O223" s="14"/>
      <c r="P223" s="181"/>
      <c r="Q223" s="228"/>
      <c r="R223" s="228"/>
      <c r="S223" s="228"/>
      <c r="T223" s="182"/>
      <c r="U223" s="181"/>
      <c r="V223" s="182"/>
      <c r="W223" s="14"/>
      <c r="Y223" s="13" t="s">
        <v>36</v>
      </c>
      <c r="Z223" s="23"/>
      <c r="AA223" s="24"/>
      <c r="AB223" s="25"/>
      <c r="AC223" s="26"/>
    </row>
    <row r="224" spans="1:30" ht="16" thickBot="1" x14ac:dyDescent="0.25">
      <c r="A224" s="13" t="s">
        <v>31</v>
      </c>
      <c r="B224" s="181"/>
      <c r="C224" s="182"/>
      <c r="D224" s="181"/>
      <c r="E224" s="182"/>
      <c r="F224" s="181"/>
      <c r="G224" s="182"/>
      <c r="H224" s="181"/>
      <c r="I224" s="182"/>
      <c r="J224" s="14"/>
      <c r="K224" s="14"/>
      <c r="L224" s="181"/>
      <c r="M224" s="182"/>
      <c r="N224" s="14"/>
      <c r="O224" s="14"/>
      <c r="P224" s="181"/>
      <c r="Q224" s="228"/>
      <c r="R224" s="228"/>
      <c r="S224" s="228"/>
      <c r="T224" s="182"/>
      <c r="U224" s="181"/>
      <c r="V224" s="182"/>
      <c r="W224" s="14"/>
      <c r="Y224" s="13" t="s">
        <v>26</v>
      </c>
      <c r="Z224" s="23"/>
      <c r="AA224" s="24"/>
      <c r="AB224" s="25"/>
      <c r="AC224" s="26"/>
    </row>
    <row r="225" spans="1:30" ht="16" thickBot="1" x14ac:dyDescent="0.25">
      <c r="A225" s="13" t="s">
        <v>36</v>
      </c>
      <c r="B225" s="181"/>
      <c r="C225" s="182"/>
      <c r="D225" s="181"/>
      <c r="E225" s="182"/>
      <c r="F225" s="181"/>
      <c r="G225" s="182"/>
      <c r="H225" s="181"/>
      <c r="I225" s="182"/>
      <c r="J225" s="14"/>
      <c r="K225" s="14"/>
      <c r="L225" s="181"/>
      <c r="M225" s="182"/>
      <c r="N225" s="14"/>
      <c r="O225" s="14"/>
      <c r="P225" s="181"/>
      <c r="Q225" s="228"/>
      <c r="R225" s="228"/>
      <c r="S225" s="228"/>
      <c r="T225" s="182"/>
      <c r="U225" s="181"/>
      <c r="V225" s="182"/>
      <c r="W225" s="14"/>
      <c r="Y225" s="13" t="s">
        <v>35</v>
      </c>
      <c r="Z225" s="23"/>
      <c r="AA225" s="24"/>
      <c r="AB225" s="25"/>
      <c r="AC225" s="26"/>
    </row>
    <row r="226" spans="1:30" ht="16" thickBot="1" x14ac:dyDescent="0.25">
      <c r="A226" s="13" t="s">
        <v>26</v>
      </c>
      <c r="B226" s="181"/>
      <c r="C226" s="182"/>
      <c r="D226" s="181"/>
      <c r="E226" s="182"/>
      <c r="F226" s="181"/>
      <c r="G226" s="182"/>
      <c r="H226" s="181"/>
      <c r="I226" s="182"/>
      <c r="J226" s="14"/>
      <c r="K226" s="14"/>
      <c r="L226" s="181"/>
      <c r="M226" s="182"/>
      <c r="N226" s="14"/>
      <c r="O226" s="14"/>
      <c r="P226" s="181"/>
      <c r="Q226" s="228"/>
      <c r="R226" s="228"/>
      <c r="S226" s="228"/>
      <c r="T226" s="182"/>
      <c r="U226" s="181"/>
      <c r="V226" s="182"/>
      <c r="W226" s="14"/>
      <c r="Y226" s="13" t="s">
        <v>37</v>
      </c>
      <c r="Z226" s="27"/>
      <c r="AA226" s="28"/>
      <c r="AB226" s="29"/>
      <c r="AC226" s="30"/>
    </row>
    <row r="227" spans="1:30" ht="16" thickBot="1" x14ac:dyDescent="0.25">
      <c r="A227" s="13" t="s">
        <v>30</v>
      </c>
      <c r="B227" s="181"/>
      <c r="C227" s="182"/>
      <c r="D227" s="181"/>
      <c r="E227" s="182"/>
      <c r="F227" s="181"/>
      <c r="G227" s="182"/>
      <c r="H227" s="181"/>
      <c r="I227" s="182"/>
      <c r="J227" s="14"/>
      <c r="K227" s="14"/>
      <c r="L227" s="181"/>
      <c r="M227" s="182"/>
      <c r="N227" s="14"/>
      <c r="O227" s="14"/>
      <c r="P227" s="181"/>
      <c r="Q227" s="228"/>
      <c r="R227" s="228"/>
      <c r="S227" s="228"/>
      <c r="T227" s="182"/>
      <c r="U227" s="181"/>
      <c r="V227" s="182"/>
      <c r="W227" s="14"/>
      <c r="Y227" s="34" t="s">
        <v>71</v>
      </c>
      <c r="Z227" s="27"/>
      <c r="AA227" s="28"/>
      <c r="AB227" s="29"/>
      <c r="AC227" s="30"/>
    </row>
    <row r="228" spans="1:30" x14ac:dyDescent="0.2">
      <c r="A228" s="13" t="s">
        <v>35</v>
      </c>
      <c r="B228" s="181"/>
      <c r="C228" s="182"/>
      <c r="D228" s="181"/>
      <c r="E228" s="182"/>
      <c r="F228" s="181"/>
      <c r="G228" s="182"/>
      <c r="H228" s="181"/>
      <c r="I228" s="182"/>
      <c r="J228" s="14"/>
      <c r="K228" s="14"/>
      <c r="L228" s="181"/>
      <c r="M228" s="182"/>
      <c r="N228" s="14"/>
      <c r="O228" s="14"/>
      <c r="P228" s="181"/>
      <c r="Q228" s="228"/>
      <c r="R228" s="228"/>
      <c r="S228" s="228"/>
      <c r="T228" s="182"/>
      <c r="U228" s="181"/>
      <c r="V228" s="182"/>
      <c r="W228" s="14"/>
    </row>
    <row r="229" spans="1:30" x14ac:dyDescent="0.2">
      <c r="A229" s="13" t="s">
        <v>41</v>
      </c>
      <c r="B229" s="181"/>
      <c r="C229" s="182"/>
      <c r="D229" s="181"/>
      <c r="E229" s="182"/>
      <c r="F229" s="181"/>
      <c r="G229" s="182"/>
      <c r="H229" s="181"/>
      <c r="I229" s="182"/>
      <c r="J229" s="14"/>
      <c r="K229" s="14"/>
      <c r="L229" s="181"/>
      <c r="M229" s="182"/>
      <c r="N229" s="14"/>
      <c r="O229" s="14"/>
      <c r="P229" s="181"/>
      <c r="Q229" s="228"/>
      <c r="R229" s="228"/>
      <c r="S229" s="228"/>
      <c r="T229" s="182"/>
      <c r="U229" s="181"/>
      <c r="V229" s="182"/>
      <c r="W229" s="14"/>
    </row>
    <row r="230" spans="1:30" x14ac:dyDescent="0.2">
      <c r="A230" s="13" t="s">
        <v>37</v>
      </c>
      <c r="B230" s="181"/>
      <c r="C230" s="182"/>
      <c r="D230" s="181"/>
      <c r="E230" s="182"/>
      <c r="F230" s="181"/>
      <c r="G230" s="182"/>
      <c r="H230" s="181"/>
      <c r="I230" s="182"/>
      <c r="J230" s="14"/>
      <c r="K230" s="14"/>
      <c r="L230" s="181"/>
      <c r="M230" s="182"/>
      <c r="N230" s="14"/>
      <c r="O230" s="14"/>
      <c r="P230" s="181"/>
      <c r="Q230" s="228"/>
      <c r="R230" s="228"/>
      <c r="S230" s="228"/>
      <c r="T230" s="182"/>
      <c r="U230" s="181"/>
      <c r="V230" s="182"/>
      <c r="W230" s="14"/>
    </row>
    <row r="232" spans="1:30" x14ac:dyDescent="0.2">
      <c r="A232" s="229" t="s">
        <v>86</v>
      </c>
      <c r="B232" s="229"/>
      <c r="C232" s="229"/>
      <c r="D232" s="229"/>
      <c r="E232" s="229"/>
      <c r="F232" s="229"/>
      <c r="G232" s="229"/>
      <c r="H232" s="229"/>
      <c r="I232" s="229"/>
      <c r="J232" s="229"/>
      <c r="K232" s="229"/>
      <c r="L232" s="229"/>
      <c r="M232" s="229"/>
      <c r="N232" s="229"/>
      <c r="O232" s="229"/>
      <c r="P232" s="229"/>
      <c r="Q232" s="229"/>
      <c r="R232" s="229"/>
      <c r="S232" s="229"/>
      <c r="T232" s="229"/>
      <c r="U232" s="229"/>
      <c r="V232" s="229"/>
      <c r="W232" s="229"/>
      <c r="X232" s="229"/>
      <c r="Y232" s="229"/>
      <c r="Z232" s="229"/>
      <c r="AA232" s="229"/>
      <c r="AB232" s="229"/>
      <c r="AC232" s="229"/>
      <c r="AD232" s="229"/>
    </row>
    <row r="233" spans="1:30" ht="16" thickBot="1" x14ac:dyDescent="0.25">
      <c r="A233" s="229"/>
      <c r="B233" s="229"/>
      <c r="C233" s="229"/>
      <c r="D233" s="229"/>
      <c r="E233" s="229"/>
      <c r="F233" s="229"/>
      <c r="G233" s="229"/>
      <c r="H233" s="229"/>
      <c r="I233" s="229"/>
      <c r="J233" s="229"/>
      <c r="K233" s="229"/>
      <c r="L233" s="229"/>
      <c r="M233" s="229"/>
      <c r="N233" s="229"/>
      <c r="O233" s="229"/>
      <c r="P233" s="229"/>
      <c r="Q233" s="229"/>
      <c r="R233" s="229"/>
      <c r="S233" s="229"/>
      <c r="T233" s="229"/>
      <c r="U233" s="229"/>
      <c r="V233" s="229"/>
      <c r="W233" s="229"/>
      <c r="X233" s="229"/>
      <c r="Y233" s="229"/>
      <c r="Z233" s="229"/>
      <c r="AA233" s="229"/>
      <c r="AB233" s="229"/>
      <c r="AC233" s="229"/>
      <c r="AD233" s="229"/>
    </row>
    <row r="234" spans="1:30" ht="16" thickBot="1" x14ac:dyDescent="0.25">
      <c r="B234" s="142" t="s">
        <v>44</v>
      </c>
      <c r="C234" s="143"/>
      <c r="D234" s="142" t="s">
        <v>2</v>
      </c>
      <c r="E234" s="143"/>
      <c r="F234" s="142" t="s">
        <v>3</v>
      </c>
      <c r="G234" s="143"/>
      <c r="H234" s="142" t="s">
        <v>4</v>
      </c>
      <c r="I234" s="143"/>
      <c r="J234" s="150" t="s">
        <v>5</v>
      </c>
      <c r="K234" s="150" t="s">
        <v>6</v>
      </c>
      <c r="L234" s="158" t="s">
        <v>7</v>
      </c>
      <c r="M234" s="159"/>
      <c r="N234" s="150" t="s">
        <v>8</v>
      </c>
      <c r="O234" s="150" t="s">
        <v>9</v>
      </c>
      <c r="P234" s="142" t="s">
        <v>45</v>
      </c>
      <c r="Q234" s="156"/>
      <c r="R234" s="156"/>
      <c r="S234" s="156"/>
      <c r="T234" s="143"/>
      <c r="U234" s="138" t="s">
        <v>13</v>
      </c>
      <c r="V234" s="139"/>
      <c r="W234" s="15" t="s">
        <v>14</v>
      </c>
      <c r="Z234" s="130" t="s">
        <v>58</v>
      </c>
      <c r="AA234" s="131"/>
      <c r="AB234" s="131"/>
      <c r="AC234" s="132"/>
    </row>
    <row r="235" spans="1:30" ht="16" thickBot="1" x14ac:dyDescent="0.25">
      <c r="B235" s="230"/>
      <c r="C235" s="231"/>
      <c r="D235" s="230"/>
      <c r="E235" s="231"/>
      <c r="F235" s="230"/>
      <c r="G235" s="231"/>
      <c r="H235" s="230"/>
      <c r="I235" s="231"/>
      <c r="J235" s="232"/>
      <c r="K235" s="232"/>
      <c r="L235" s="233"/>
      <c r="M235" s="234"/>
      <c r="N235" s="232"/>
      <c r="O235" s="232"/>
      <c r="P235" s="230"/>
      <c r="Q235" s="235"/>
      <c r="R235" s="235"/>
      <c r="S235" s="235"/>
      <c r="T235" s="231"/>
      <c r="U235" s="236"/>
      <c r="V235" s="237"/>
      <c r="W235" s="18" t="s">
        <v>17</v>
      </c>
      <c r="Z235" s="238" t="s">
        <v>59</v>
      </c>
      <c r="AA235" s="239"/>
      <c r="AB235" s="240" t="s">
        <v>60</v>
      </c>
      <c r="AC235" s="136"/>
    </row>
    <row r="236" spans="1:30" ht="16" thickBot="1" x14ac:dyDescent="0.25">
      <c r="A236" s="13" t="s">
        <v>34</v>
      </c>
      <c r="B236" s="181"/>
      <c r="C236" s="182"/>
      <c r="D236" s="181"/>
      <c r="E236" s="182"/>
      <c r="F236" s="181"/>
      <c r="G236" s="182"/>
      <c r="H236" s="181"/>
      <c r="I236" s="182"/>
      <c r="J236" s="14"/>
      <c r="K236" s="14"/>
      <c r="L236" s="181"/>
      <c r="M236" s="182"/>
      <c r="N236" s="14"/>
      <c r="O236" s="14"/>
      <c r="P236" s="181"/>
      <c r="Q236" s="228"/>
      <c r="R236" s="228"/>
      <c r="S236" s="228"/>
      <c r="T236" s="182"/>
      <c r="U236" s="181"/>
      <c r="V236" s="182"/>
      <c r="W236" s="14"/>
      <c r="Y236" s="31" t="s">
        <v>32</v>
      </c>
      <c r="Z236" s="23"/>
      <c r="AA236" s="24"/>
      <c r="AB236" s="32"/>
      <c r="AC236" s="33"/>
    </row>
    <row r="237" spans="1:30" ht="16" thickBot="1" x14ac:dyDescent="0.25">
      <c r="A237" s="13" t="s">
        <v>32</v>
      </c>
      <c r="B237" s="181"/>
      <c r="C237" s="182"/>
      <c r="D237" s="181"/>
      <c r="E237" s="182"/>
      <c r="F237" s="181"/>
      <c r="G237" s="182"/>
      <c r="H237" s="181"/>
      <c r="I237" s="182"/>
      <c r="J237" s="14"/>
      <c r="K237" s="14"/>
      <c r="L237" s="181"/>
      <c r="M237" s="182"/>
      <c r="N237" s="14"/>
      <c r="O237" s="14"/>
      <c r="P237" s="181"/>
      <c r="Q237" s="228"/>
      <c r="R237" s="228"/>
      <c r="S237" s="228"/>
      <c r="T237" s="182"/>
      <c r="U237" s="181"/>
      <c r="V237" s="182"/>
      <c r="W237" s="14"/>
      <c r="Y237" s="13" t="s">
        <v>34</v>
      </c>
      <c r="Z237" s="23"/>
      <c r="AA237" s="24"/>
      <c r="AB237" s="29"/>
      <c r="AC237" s="30"/>
    </row>
    <row r="238" spans="1:30" ht="16" thickBot="1" x14ac:dyDescent="0.25">
      <c r="A238" s="13" t="s">
        <v>33</v>
      </c>
      <c r="B238" s="181"/>
      <c r="C238" s="182"/>
      <c r="D238" s="181"/>
      <c r="E238" s="182"/>
      <c r="F238" s="181"/>
      <c r="G238" s="182"/>
      <c r="H238" s="181"/>
      <c r="I238" s="182"/>
      <c r="J238" s="14"/>
      <c r="K238" s="14"/>
      <c r="L238" s="181"/>
      <c r="M238" s="182"/>
      <c r="N238" s="14"/>
      <c r="O238" s="14"/>
      <c r="P238" s="181"/>
      <c r="Q238" s="228"/>
      <c r="R238" s="228"/>
      <c r="S238" s="228"/>
      <c r="T238" s="182"/>
      <c r="U238" s="181"/>
      <c r="V238" s="182"/>
      <c r="W238" s="14"/>
      <c r="Y238" s="13" t="s">
        <v>38</v>
      </c>
      <c r="Z238" s="23"/>
      <c r="AA238" s="24"/>
      <c r="AB238" s="25"/>
      <c r="AC238" s="26"/>
    </row>
    <row r="239" spans="1:30" ht="16" thickBot="1" x14ac:dyDescent="0.25">
      <c r="A239" s="13" t="s">
        <v>38</v>
      </c>
      <c r="B239" s="181"/>
      <c r="C239" s="182"/>
      <c r="D239" s="181"/>
      <c r="E239" s="182"/>
      <c r="F239" s="181"/>
      <c r="G239" s="182"/>
      <c r="H239" s="181"/>
      <c r="I239" s="182"/>
      <c r="J239" s="14"/>
      <c r="K239" s="14"/>
      <c r="L239" s="181"/>
      <c r="M239" s="182"/>
      <c r="N239" s="14"/>
      <c r="O239" s="14"/>
      <c r="P239" s="181"/>
      <c r="Q239" s="228"/>
      <c r="R239" s="228"/>
      <c r="S239" s="228"/>
      <c r="T239" s="182"/>
      <c r="U239" s="181"/>
      <c r="V239" s="182"/>
      <c r="W239" s="14"/>
      <c r="Y239" s="13" t="s">
        <v>27</v>
      </c>
      <c r="Z239" s="23"/>
      <c r="AA239" s="24"/>
      <c r="AB239" s="25"/>
      <c r="AC239" s="26"/>
    </row>
    <row r="240" spans="1:30" ht="16" thickBot="1" x14ac:dyDescent="0.25">
      <c r="A240" s="13" t="s">
        <v>27</v>
      </c>
      <c r="B240" s="181"/>
      <c r="C240" s="182"/>
      <c r="D240" s="181"/>
      <c r="E240" s="182"/>
      <c r="F240" s="181"/>
      <c r="G240" s="182"/>
      <c r="H240" s="181"/>
      <c r="I240" s="182"/>
      <c r="J240" s="14"/>
      <c r="K240" s="14"/>
      <c r="L240" s="181"/>
      <c r="M240" s="182"/>
      <c r="N240" s="14"/>
      <c r="O240" s="14"/>
      <c r="P240" s="181"/>
      <c r="Q240" s="228"/>
      <c r="R240" s="228"/>
      <c r="S240" s="228"/>
      <c r="T240" s="182"/>
      <c r="U240" s="181"/>
      <c r="V240" s="182"/>
      <c r="W240" s="14"/>
      <c r="Y240" s="13" t="s">
        <v>25</v>
      </c>
      <c r="Z240" s="23"/>
      <c r="AA240" s="24"/>
      <c r="AB240" s="25"/>
      <c r="AC240" s="26"/>
    </row>
    <row r="241" spans="1:30" ht="16" thickBot="1" x14ac:dyDescent="0.25">
      <c r="A241" s="13" t="s">
        <v>25</v>
      </c>
      <c r="B241" s="181"/>
      <c r="C241" s="182"/>
      <c r="D241" s="181"/>
      <c r="E241" s="182"/>
      <c r="F241" s="181"/>
      <c r="G241" s="182"/>
      <c r="H241" s="181"/>
      <c r="I241" s="182"/>
      <c r="J241" s="14"/>
      <c r="K241" s="14"/>
      <c r="L241" s="181"/>
      <c r="M241" s="182"/>
      <c r="N241" s="14"/>
      <c r="O241" s="14"/>
      <c r="P241" s="181"/>
      <c r="Q241" s="228"/>
      <c r="R241" s="228"/>
      <c r="S241" s="228"/>
      <c r="T241" s="182"/>
      <c r="U241" s="181"/>
      <c r="V241" s="182"/>
      <c r="W241" s="14"/>
      <c r="Y241" s="13" t="s">
        <v>39</v>
      </c>
      <c r="Z241" s="23"/>
      <c r="AA241" s="24"/>
      <c r="AB241" s="25"/>
      <c r="AC241" s="26"/>
    </row>
    <row r="242" spans="1:30" ht="16" thickBot="1" x14ac:dyDescent="0.25">
      <c r="A242" s="13" t="s">
        <v>39</v>
      </c>
      <c r="B242" s="181"/>
      <c r="C242" s="182"/>
      <c r="D242" s="181"/>
      <c r="E242" s="182"/>
      <c r="F242" s="181"/>
      <c r="G242" s="182"/>
      <c r="H242" s="181"/>
      <c r="I242" s="182"/>
      <c r="J242" s="14"/>
      <c r="K242" s="14"/>
      <c r="L242" s="181"/>
      <c r="M242" s="182"/>
      <c r="N242" s="14"/>
      <c r="O242" s="14"/>
      <c r="P242" s="181"/>
      <c r="Q242" s="228"/>
      <c r="R242" s="228"/>
      <c r="S242" s="228"/>
      <c r="T242" s="182"/>
      <c r="U242" s="181"/>
      <c r="V242" s="182"/>
      <c r="W242" s="14"/>
      <c r="Y242" s="13" t="s">
        <v>40</v>
      </c>
      <c r="Z242" s="23"/>
      <c r="AA242" s="24"/>
      <c r="AB242" s="25"/>
      <c r="AC242" s="26"/>
    </row>
    <row r="243" spans="1:30" ht="16" thickBot="1" x14ac:dyDescent="0.25">
      <c r="A243" s="13" t="s">
        <v>40</v>
      </c>
      <c r="B243" s="181"/>
      <c r="C243" s="182"/>
      <c r="D243" s="181"/>
      <c r="E243" s="182"/>
      <c r="F243" s="181"/>
      <c r="G243" s="182"/>
      <c r="H243" s="181"/>
      <c r="I243" s="182"/>
      <c r="J243" s="14"/>
      <c r="K243" s="14"/>
      <c r="L243" s="181"/>
      <c r="M243" s="182"/>
      <c r="N243" s="14"/>
      <c r="O243" s="14"/>
      <c r="P243" s="181"/>
      <c r="Q243" s="228"/>
      <c r="R243" s="228"/>
      <c r="S243" s="228"/>
      <c r="T243" s="182"/>
      <c r="U243" s="181"/>
      <c r="V243" s="182"/>
      <c r="W243" s="14"/>
      <c r="Y243" s="13" t="s">
        <v>28</v>
      </c>
      <c r="Z243" s="23"/>
      <c r="AA243" s="24"/>
      <c r="AB243" s="25"/>
      <c r="AC243" s="26"/>
    </row>
    <row r="244" spans="1:30" ht="16" thickBot="1" x14ac:dyDescent="0.25">
      <c r="A244" s="13" t="s">
        <v>28</v>
      </c>
      <c r="B244" s="181"/>
      <c r="C244" s="182"/>
      <c r="D244" s="181"/>
      <c r="E244" s="182"/>
      <c r="F244" s="181"/>
      <c r="G244" s="182"/>
      <c r="H244" s="181"/>
      <c r="I244" s="182"/>
      <c r="J244" s="14"/>
      <c r="K244" s="14"/>
      <c r="L244" s="181"/>
      <c r="M244" s="182"/>
      <c r="N244" s="14"/>
      <c r="O244" s="14"/>
      <c r="P244" s="181"/>
      <c r="Q244" s="228"/>
      <c r="R244" s="228"/>
      <c r="S244" s="228"/>
      <c r="T244" s="182"/>
      <c r="U244" s="181"/>
      <c r="V244" s="182"/>
      <c r="W244" s="14"/>
      <c r="Y244" s="13" t="s">
        <v>36</v>
      </c>
      <c r="Z244" s="23"/>
      <c r="AA244" s="24"/>
      <c r="AB244" s="25"/>
      <c r="AC244" s="26"/>
    </row>
    <row r="245" spans="1:30" ht="16" thickBot="1" x14ac:dyDescent="0.25">
      <c r="A245" s="13" t="s">
        <v>31</v>
      </c>
      <c r="B245" s="181"/>
      <c r="C245" s="182"/>
      <c r="D245" s="181"/>
      <c r="E245" s="182"/>
      <c r="F245" s="181"/>
      <c r="G245" s="182"/>
      <c r="H245" s="181"/>
      <c r="I245" s="182"/>
      <c r="J245" s="14"/>
      <c r="K245" s="14"/>
      <c r="L245" s="181"/>
      <c r="M245" s="182"/>
      <c r="N245" s="14"/>
      <c r="O245" s="14"/>
      <c r="P245" s="181"/>
      <c r="Q245" s="228"/>
      <c r="R245" s="228"/>
      <c r="S245" s="228"/>
      <c r="T245" s="182"/>
      <c r="U245" s="181"/>
      <c r="V245" s="182"/>
      <c r="W245" s="14"/>
      <c r="Y245" s="13" t="s">
        <v>26</v>
      </c>
      <c r="Z245" s="23"/>
      <c r="AA245" s="24"/>
      <c r="AB245" s="25"/>
      <c r="AC245" s="26"/>
    </row>
    <row r="246" spans="1:30" ht="16" thickBot="1" x14ac:dyDescent="0.25">
      <c r="A246" s="13" t="s">
        <v>36</v>
      </c>
      <c r="B246" s="181"/>
      <c r="C246" s="182"/>
      <c r="D246" s="181"/>
      <c r="E246" s="182"/>
      <c r="F246" s="181"/>
      <c r="G246" s="182"/>
      <c r="H246" s="181"/>
      <c r="I246" s="182"/>
      <c r="J246" s="14"/>
      <c r="K246" s="14"/>
      <c r="L246" s="181"/>
      <c r="M246" s="182"/>
      <c r="N246" s="14"/>
      <c r="O246" s="14"/>
      <c r="P246" s="181"/>
      <c r="Q246" s="228"/>
      <c r="R246" s="228"/>
      <c r="S246" s="228"/>
      <c r="T246" s="182"/>
      <c r="U246" s="181"/>
      <c r="V246" s="182"/>
      <c r="W246" s="14"/>
      <c r="Y246" s="13" t="s">
        <v>35</v>
      </c>
      <c r="Z246" s="23"/>
      <c r="AA246" s="24"/>
      <c r="AB246" s="25"/>
      <c r="AC246" s="26"/>
    </row>
    <row r="247" spans="1:30" ht="16" thickBot="1" x14ac:dyDescent="0.25">
      <c r="A247" s="13" t="s">
        <v>26</v>
      </c>
      <c r="B247" s="181"/>
      <c r="C247" s="182"/>
      <c r="D247" s="181"/>
      <c r="E247" s="182"/>
      <c r="F247" s="181"/>
      <c r="G247" s="182"/>
      <c r="H247" s="181"/>
      <c r="I247" s="182"/>
      <c r="J247" s="14"/>
      <c r="K247" s="14"/>
      <c r="L247" s="181"/>
      <c r="M247" s="182"/>
      <c r="N247" s="14"/>
      <c r="O247" s="14"/>
      <c r="P247" s="181"/>
      <c r="Q247" s="228"/>
      <c r="R247" s="228"/>
      <c r="S247" s="228"/>
      <c r="T247" s="182"/>
      <c r="U247" s="181"/>
      <c r="V247" s="182"/>
      <c r="W247" s="14"/>
      <c r="Y247" s="13" t="s">
        <v>37</v>
      </c>
      <c r="Z247" s="27"/>
      <c r="AA247" s="28"/>
      <c r="AB247" s="29"/>
      <c r="AC247" s="30"/>
    </row>
    <row r="248" spans="1:30" ht="16" thickBot="1" x14ac:dyDescent="0.25">
      <c r="A248" s="13" t="s">
        <v>30</v>
      </c>
      <c r="B248" s="181"/>
      <c r="C248" s="182"/>
      <c r="D248" s="181"/>
      <c r="E248" s="182"/>
      <c r="F248" s="181"/>
      <c r="G248" s="182"/>
      <c r="H248" s="181"/>
      <c r="I248" s="182"/>
      <c r="J248" s="14"/>
      <c r="K248" s="14"/>
      <c r="L248" s="181"/>
      <c r="M248" s="182"/>
      <c r="N248" s="14"/>
      <c r="O248" s="14"/>
      <c r="P248" s="181"/>
      <c r="Q248" s="228"/>
      <c r="R248" s="228"/>
      <c r="S248" s="228"/>
      <c r="T248" s="182"/>
      <c r="U248" s="181"/>
      <c r="V248" s="182"/>
      <c r="W248" s="14"/>
      <c r="Y248" s="34" t="s">
        <v>71</v>
      </c>
      <c r="Z248" s="27"/>
      <c r="AA248" s="28"/>
      <c r="AB248" s="29"/>
      <c r="AC248" s="30"/>
    </row>
    <row r="249" spans="1:30" x14ac:dyDescent="0.2">
      <c r="A249" s="13" t="s">
        <v>35</v>
      </c>
      <c r="B249" s="181"/>
      <c r="C249" s="182"/>
      <c r="D249" s="181"/>
      <c r="E249" s="182"/>
      <c r="F249" s="181"/>
      <c r="G249" s="182"/>
      <c r="H249" s="181"/>
      <c r="I249" s="182"/>
      <c r="J249" s="14"/>
      <c r="K249" s="14"/>
      <c r="L249" s="181"/>
      <c r="M249" s="182"/>
      <c r="N249" s="14"/>
      <c r="O249" s="14"/>
      <c r="P249" s="181"/>
      <c r="Q249" s="228"/>
      <c r="R249" s="228"/>
      <c r="S249" s="228"/>
      <c r="T249" s="182"/>
      <c r="U249" s="181"/>
      <c r="V249" s="182"/>
      <c r="W249" s="14"/>
    </row>
    <row r="250" spans="1:30" x14ac:dyDescent="0.2">
      <c r="A250" s="13" t="s">
        <v>41</v>
      </c>
      <c r="B250" s="181"/>
      <c r="C250" s="182"/>
      <c r="D250" s="181"/>
      <c r="E250" s="182"/>
      <c r="F250" s="181"/>
      <c r="G250" s="182"/>
      <c r="H250" s="181"/>
      <c r="I250" s="182"/>
      <c r="J250" s="14"/>
      <c r="K250" s="14"/>
      <c r="L250" s="181"/>
      <c r="M250" s="182"/>
      <c r="N250" s="14"/>
      <c r="O250" s="14"/>
      <c r="P250" s="181"/>
      <c r="Q250" s="228"/>
      <c r="R250" s="228"/>
      <c r="S250" s="228"/>
      <c r="T250" s="182"/>
      <c r="U250" s="181"/>
      <c r="V250" s="182"/>
      <c r="W250" s="14"/>
    </row>
    <row r="251" spans="1:30" x14ac:dyDescent="0.2">
      <c r="A251" s="13" t="s">
        <v>37</v>
      </c>
      <c r="B251" s="181"/>
      <c r="C251" s="182"/>
      <c r="D251" s="181"/>
      <c r="E251" s="182"/>
      <c r="F251" s="181"/>
      <c r="G251" s="182"/>
      <c r="H251" s="181"/>
      <c r="I251" s="182"/>
      <c r="J251" s="14"/>
      <c r="K251" s="14"/>
      <c r="L251" s="181"/>
      <c r="M251" s="182"/>
      <c r="N251" s="14"/>
      <c r="O251" s="14"/>
      <c r="P251" s="181"/>
      <c r="Q251" s="228"/>
      <c r="R251" s="228"/>
      <c r="S251" s="228"/>
      <c r="T251" s="182"/>
      <c r="U251" s="181"/>
      <c r="V251" s="182"/>
      <c r="W251" s="14"/>
    </row>
    <row r="253" spans="1:30" x14ac:dyDescent="0.2">
      <c r="A253" s="204" t="s">
        <v>87</v>
      </c>
      <c r="B253" s="204"/>
      <c r="C253" s="204"/>
      <c r="D253" s="204"/>
      <c r="E253" s="204"/>
      <c r="F253" s="204"/>
      <c r="G253" s="204"/>
      <c r="H253" s="204"/>
      <c r="I253" s="204"/>
      <c r="J253" s="204"/>
      <c r="K253" s="204"/>
      <c r="L253" s="204"/>
      <c r="M253" s="204"/>
      <c r="N253" s="204"/>
      <c r="O253" s="204"/>
      <c r="P253" s="204"/>
      <c r="Q253" s="204"/>
      <c r="R253" s="204"/>
      <c r="S253" s="204"/>
      <c r="T253" s="204"/>
      <c r="U253" s="204"/>
      <c r="V253" s="204"/>
      <c r="W253" s="204"/>
      <c r="X253" s="204"/>
      <c r="Y253" s="204"/>
      <c r="Z253" s="204"/>
      <c r="AA253" s="204"/>
      <c r="AB253" s="204"/>
      <c r="AC253" s="204"/>
      <c r="AD253" s="204"/>
    </row>
    <row r="254" spans="1:30" ht="16" thickBot="1" x14ac:dyDescent="0.25">
      <c r="A254" s="204"/>
      <c r="B254" s="204"/>
      <c r="C254" s="204"/>
      <c r="D254" s="204"/>
      <c r="E254" s="204"/>
      <c r="F254" s="204"/>
      <c r="G254" s="204"/>
      <c r="H254" s="204"/>
      <c r="I254" s="204"/>
      <c r="J254" s="204"/>
      <c r="K254" s="204"/>
      <c r="L254" s="204"/>
      <c r="M254" s="204"/>
      <c r="N254" s="204"/>
      <c r="O254" s="204"/>
      <c r="P254" s="204"/>
      <c r="Q254" s="204"/>
      <c r="R254" s="204"/>
      <c r="S254" s="204"/>
      <c r="T254" s="204"/>
      <c r="U254" s="204"/>
      <c r="V254" s="204"/>
      <c r="W254" s="204"/>
      <c r="X254" s="204"/>
      <c r="Y254" s="204"/>
      <c r="Z254" s="204"/>
      <c r="AA254" s="204"/>
      <c r="AB254" s="204"/>
      <c r="AC254" s="204"/>
      <c r="AD254" s="204"/>
    </row>
    <row r="255" spans="1:30" ht="16" thickBot="1" x14ac:dyDescent="0.25">
      <c r="A255" s="37"/>
      <c r="B255" s="205" t="s">
        <v>44</v>
      </c>
      <c r="C255" s="206"/>
      <c r="D255" s="205" t="s">
        <v>2</v>
      </c>
      <c r="E255" s="206"/>
      <c r="F255" s="205" t="s">
        <v>3</v>
      </c>
      <c r="G255" s="206"/>
      <c r="H255" s="205" t="s">
        <v>4</v>
      </c>
      <c r="I255" s="206"/>
      <c r="J255" s="209" t="s">
        <v>5</v>
      </c>
      <c r="K255" s="209" t="s">
        <v>6</v>
      </c>
      <c r="L255" s="211" t="s">
        <v>7</v>
      </c>
      <c r="M255" s="212"/>
      <c r="N255" s="209" t="s">
        <v>8</v>
      </c>
      <c r="O255" s="209" t="s">
        <v>9</v>
      </c>
      <c r="P255" s="205" t="s">
        <v>45</v>
      </c>
      <c r="Q255" s="215"/>
      <c r="R255" s="215"/>
      <c r="S255" s="215"/>
      <c r="T255" s="206"/>
      <c r="U255" s="217" t="s">
        <v>13</v>
      </c>
      <c r="V255" s="218"/>
      <c r="W255" s="38" t="s">
        <v>14</v>
      </c>
      <c r="X255" s="37"/>
      <c r="Y255" s="37"/>
      <c r="Z255" s="221" t="s">
        <v>58</v>
      </c>
      <c r="AA255" s="222"/>
      <c r="AB255" s="222"/>
      <c r="AC255" s="223"/>
      <c r="AD255" s="37"/>
    </row>
    <row r="256" spans="1:30" ht="16" thickBot="1" x14ac:dyDescent="0.25">
      <c r="A256" s="37"/>
      <c r="B256" s="207"/>
      <c r="C256" s="208"/>
      <c r="D256" s="207"/>
      <c r="E256" s="208"/>
      <c r="F256" s="207"/>
      <c r="G256" s="208"/>
      <c r="H256" s="207"/>
      <c r="I256" s="208"/>
      <c r="J256" s="210"/>
      <c r="K256" s="210"/>
      <c r="L256" s="213"/>
      <c r="M256" s="214"/>
      <c r="N256" s="210"/>
      <c r="O256" s="210"/>
      <c r="P256" s="207"/>
      <c r="Q256" s="216"/>
      <c r="R256" s="216"/>
      <c r="S256" s="216"/>
      <c r="T256" s="208"/>
      <c r="U256" s="219"/>
      <c r="V256" s="220"/>
      <c r="W256" s="39" t="s">
        <v>17</v>
      </c>
      <c r="X256" s="37"/>
      <c r="Y256" s="37"/>
      <c r="Z256" s="224" t="s">
        <v>59</v>
      </c>
      <c r="AA256" s="225"/>
      <c r="AB256" s="226" t="s">
        <v>60</v>
      </c>
      <c r="AC256" s="227"/>
      <c r="AD256" s="37"/>
    </row>
    <row r="257" spans="1:30" ht="16" thickBot="1" x14ac:dyDescent="0.25">
      <c r="A257" s="40" t="s">
        <v>34</v>
      </c>
      <c r="B257" s="192"/>
      <c r="C257" s="193"/>
      <c r="D257" s="194"/>
      <c r="E257" s="195"/>
      <c r="F257" s="192"/>
      <c r="G257" s="193"/>
      <c r="H257" s="194"/>
      <c r="I257" s="196"/>
      <c r="J257" s="41"/>
      <c r="K257" s="41"/>
      <c r="L257" s="197"/>
      <c r="M257" s="196"/>
      <c r="N257" s="41"/>
      <c r="O257" s="41"/>
      <c r="P257" s="197"/>
      <c r="Q257" s="194"/>
      <c r="R257" s="194"/>
      <c r="S257" s="194"/>
      <c r="T257" s="195"/>
      <c r="U257" s="199"/>
      <c r="V257" s="201"/>
      <c r="W257" s="42"/>
      <c r="X257" s="37"/>
      <c r="Y257" s="43" t="s">
        <v>32</v>
      </c>
      <c r="Z257" s="44"/>
      <c r="AA257" s="45"/>
      <c r="AB257" s="46"/>
      <c r="AC257" s="47"/>
      <c r="AD257" s="37"/>
    </row>
    <row r="258" spans="1:30" ht="16" thickBot="1" x14ac:dyDescent="0.25">
      <c r="A258" s="48" t="s">
        <v>32</v>
      </c>
      <c r="B258" s="192"/>
      <c r="C258" s="193"/>
      <c r="D258" s="194"/>
      <c r="E258" s="195"/>
      <c r="F258" s="199"/>
      <c r="G258" s="200"/>
      <c r="H258" s="194"/>
      <c r="I258" s="196"/>
      <c r="J258" s="41"/>
      <c r="K258" s="41"/>
      <c r="L258" s="197"/>
      <c r="M258" s="196"/>
      <c r="N258" s="41"/>
      <c r="O258" s="41"/>
      <c r="P258" s="197"/>
      <c r="Q258" s="194"/>
      <c r="R258" s="194"/>
      <c r="S258" s="194"/>
      <c r="T258" s="195"/>
      <c r="U258" s="199"/>
      <c r="V258" s="201"/>
      <c r="W258" s="42"/>
      <c r="X258" s="37"/>
      <c r="Y258" s="40" t="s">
        <v>34</v>
      </c>
      <c r="Z258" s="49"/>
      <c r="AA258" s="50"/>
      <c r="AB258" s="202"/>
      <c r="AC258" s="203"/>
      <c r="AD258" s="37"/>
    </row>
    <row r="259" spans="1:30" ht="16" thickBot="1" x14ac:dyDescent="0.25">
      <c r="A259" s="48" t="s">
        <v>33</v>
      </c>
      <c r="B259" s="192"/>
      <c r="C259" s="193"/>
      <c r="D259" s="194"/>
      <c r="E259" s="196"/>
      <c r="F259" s="198"/>
      <c r="G259" s="196"/>
      <c r="H259" s="198"/>
      <c r="I259" s="196"/>
      <c r="J259" s="41"/>
      <c r="K259" s="41"/>
      <c r="L259" s="197"/>
      <c r="M259" s="196"/>
      <c r="N259" s="41"/>
      <c r="O259" s="41"/>
      <c r="P259" s="197"/>
      <c r="Q259" s="194"/>
      <c r="R259" s="194"/>
      <c r="S259" s="194"/>
      <c r="T259" s="196"/>
      <c r="U259" s="198"/>
      <c r="V259" s="196"/>
      <c r="W259" s="41"/>
      <c r="X259" s="37"/>
      <c r="Y259" s="48" t="s">
        <v>38</v>
      </c>
      <c r="Z259" s="49"/>
      <c r="AA259" s="50"/>
      <c r="AB259" s="52"/>
      <c r="AC259" s="53"/>
      <c r="AD259" s="37"/>
    </row>
    <row r="260" spans="1:30" ht="16" thickBot="1" x14ac:dyDescent="0.25">
      <c r="A260" s="48" t="s">
        <v>38</v>
      </c>
      <c r="B260" s="192"/>
      <c r="C260" s="193"/>
      <c r="D260" s="194"/>
      <c r="E260" s="195"/>
      <c r="F260" s="199"/>
      <c r="G260" s="200"/>
      <c r="H260" s="194"/>
      <c r="I260" s="195"/>
      <c r="J260" s="54"/>
      <c r="K260" s="54"/>
      <c r="L260" s="197"/>
      <c r="M260" s="196"/>
      <c r="N260" s="41"/>
      <c r="O260" s="41"/>
      <c r="P260" s="197"/>
      <c r="Q260" s="194"/>
      <c r="R260" s="194"/>
      <c r="S260" s="194"/>
      <c r="T260" s="195"/>
      <c r="U260" s="199"/>
      <c r="V260" s="201"/>
      <c r="W260" s="42"/>
      <c r="X260" s="37"/>
      <c r="Y260" s="48" t="s">
        <v>27</v>
      </c>
      <c r="Z260" s="49"/>
      <c r="AA260" s="50"/>
      <c r="AB260" s="55"/>
      <c r="AC260" s="56"/>
      <c r="AD260" s="37"/>
    </row>
    <row r="261" spans="1:30" ht="16" thickBot="1" x14ac:dyDescent="0.25">
      <c r="A261" s="48" t="s">
        <v>27</v>
      </c>
      <c r="B261" s="192"/>
      <c r="C261" s="193"/>
      <c r="D261" s="194"/>
      <c r="E261" s="195"/>
      <c r="F261" s="192"/>
      <c r="G261" s="193"/>
      <c r="H261" s="194"/>
      <c r="I261" s="195"/>
      <c r="J261" s="54"/>
      <c r="K261" s="41"/>
      <c r="L261" s="197"/>
      <c r="M261" s="196"/>
      <c r="N261" s="41"/>
      <c r="O261" s="41"/>
      <c r="P261" s="197"/>
      <c r="Q261" s="194"/>
      <c r="R261" s="194"/>
      <c r="S261" s="194"/>
      <c r="T261" s="195"/>
      <c r="U261" s="199"/>
      <c r="V261" s="201"/>
      <c r="W261" s="42"/>
      <c r="X261" s="37"/>
      <c r="Y261" s="48" t="s">
        <v>25</v>
      </c>
      <c r="Z261" s="49"/>
      <c r="AA261" s="50"/>
      <c r="AB261" s="55"/>
      <c r="AC261" s="56"/>
      <c r="AD261" s="37"/>
    </row>
    <row r="262" spans="1:30" ht="16" thickBot="1" x14ac:dyDescent="0.25">
      <c r="A262" s="48" t="s">
        <v>25</v>
      </c>
      <c r="B262" s="192"/>
      <c r="C262" s="193"/>
      <c r="D262" s="194"/>
      <c r="E262" s="196"/>
      <c r="F262" s="198"/>
      <c r="G262" s="196"/>
      <c r="H262" s="198"/>
      <c r="I262" s="195"/>
      <c r="J262" s="54"/>
      <c r="K262" s="41"/>
      <c r="L262" s="197"/>
      <c r="M262" s="196"/>
      <c r="N262" s="41"/>
      <c r="O262" s="41"/>
      <c r="P262" s="197"/>
      <c r="Q262" s="194"/>
      <c r="R262" s="194"/>
      <c r="S262" s="194"/>
      <c r="T262" s="195"/>
      <c r="U262" s="199"/>
      <c r="V262" s="200"/>
      <c r="W262" s="41"/>
      <c r="X262" s="37"/>
      <c r="Y262" s="48" t="s">
        <v>39</v>
      </c>
      <c r="Z262" s="49"/>
      <c r="AA262" s="50"/>
      <c r="AB262" s="55"/>
      <c r="AC262" s="56"/>
      <c r="AD262" s="37"/>
    </row>
    <row r="263" spans="1:30" ht="16" thickBot="1" x14ac:dyDescent="0.25">
      <c r="A263" s="48" t="s">
        <v>39</v>
      </c>
      <c r="B263" s="197"/>
      <c r="C263" s="196"/>
      <c r="D263" s="198"/>
      <c r="E263" s="196"/>
      <c r="F263" s="198"/>
      <c r="G263" s="196"/>
      <c r="H263" s="198"/>
      <c r="I263" s="195"/>
      <c r="J263" s="54"/>
      <c r="K263" s="54"/>
      <c r="L263" s="197"/>
      <c r="M263" s="196"/>
      <c r="N263" s="41"/>
      <c r="O263" s="41"/>
      <c r="P263" s="197"/>
      <c r="Q263" s="194"/>
      <c r="R263" s="194"/>
      <c r="S263" s="194"/>
      <c r="T263" s="196"/>
      <c r="U263" s="198"/>
      <c r="V263" s="196"/>
      <c r="W263" s="41"/>
      <c r="X263" s="37"/>
      <c r="Y263" s="48" t="s">
        <v>40</v>
      </c>
      <c r="Z263" s="49"/>
      <c r="AA263" s="50"/>
      <c r="AB263" s="55"/>
      <c r="AC263" s="56"/>
      <c r="AD263" s="37"/>
    </row>
    <row r="264" spans="1:30" ht="16" thickBot="1" x14ac:dyDescent="0.25">
      <c r="A264" s="48" t="s">
        <v>40</v>
      </c>
      <c r="B264" s="192"/>
      <c r="C264" s="193"/>
      <c r="D264" s="194"/>
      <c r="E264" s="195"/>
      <c r="F264" s="199"/>
      <c r="G264" s="200"/>
      <c r="H264" s="194"/>
      <c r="I264" s="196"/>
      <c r="J264" s="41"/>
      <c r="K264" s="54"/>
      <c r="L264" s="197"/>
      <c r="M264" s="196"/>
      <c r="N264" s="41"/>
      <c r="O264" s="41"/>
      <c r="P264" s="197"/>
      <c r="Q264" s="194"/>
      <c r="R264" s="194"/>
      <c r="S264" s="194"/>
      <c r="T264" s="196"/>
      <c r="U264" s="198"/>
      <c r="V264" s="196"/>
      <c r="W264" s="41"/>
      <c r="X264" s="37"/>
      <c r="Y264" s="48" t="s">
        <v>28</v>
      </c>
      <c r="Z264" s="49"/>
      <c r="AA264" s="50"/>
      <c r="AB264" s="55"/>
      <c r="AC264" s="56"/>
      <c r="AD264" s="37"/>
    </row>
    <row r="265" spans="1:30" ht="16" thickBot="1" x14ac:dyDescent="0.25">
      <c r="A265" s="48" t="s">
        <v>28</v>
      </c>
      <c r="B265" s="192"/>
      <c r="C265" s="193"/>
      <c r="D265" s="194"/>
      <c r="E265" s="196"/>
      <c r="F265" s="198"/>
      <c r="G265" s="196"/>
      <c r="H265" s="198"/>
      <c r="I265" s="195"/>
      <c r="J265" s="54"/>
      <c r="K265" s="41"/>
      <c r="L265" s="197"/>
      <c r="M265" s="196"/>
      <c r="N265" s="41"/>
      <c r="O265" s="41"/>
      <c r="P265" s="197"/>
      <c r="Q265" s="194"/>
      <c r="R265" s="194"/>
      <c r="S265" s="194"/>
      <c r="T265" s="196"/>
      <c r="U265" s="198"/>
      <c r="V265" s="196"/>
      <c r="W265" s="41"/>
      <c r="X265" s="37"/>
      <c r="Y265" s="48" t="s">
        <v>36</v>
      </c>
      <c r="Z265" s="49"/>
      <c r="AA265" s="50"/>
      <c r="AB265" s="55"/>
      <c r="AC265" s="56"/>
      <c r="AD265" s="37"/>
    </row>
    <row r="266" spans="1:30" ht="16" thickBot="1" x14ac:dyDescent="0.25">
      <c r="A266" s="48" t="s">
        <v>31</v>
      </c>
      <c r="B266" s="192"/>
      <c r="C266" s="193"/>
      <c r="D266" s="194"/>
      <c r="E266" s="196"/>
      <c r="F266" s="198"/>
      <c r="G266" s="196"/>
      <c r="H266" s="198"/>
      <c r="I266" s="195"/>
      <c r="J266" s="54"/>
      <c r="K266" s="54"/>
      <c r="L266" s="197"/>
      <c r="M266" s="196"/>
      <c r="N266" s="41"/>
      <c r="O266" s="41"/>
      <c r="P266" s="197"/>
      <c r="Q266" s="194"/>
      <c r="R266" s="194"/>
      <c r="S266" s="194"/>
      <c r="T266" s="196"/>
      <c r="U266" s="198"/>
      <c r="V266" s="195"/>
      <c r="W266" s="42"/>
      <c r="X266" s="37"/>
      <c r="Y266" s="48" t="s">
        <v>26</v>
      </c>
      <c r="Z266" s="49"/>
      <c r="AA266" s="50"/>
      <c r="AB266" s="55"/>
      <c r="AC266" s="56"/>
      <c r="AD266" s="37"/>
    </row>
    <row r="267" spans="1:30" ht="16" thickBot="1" x14ac:dyDescent="0.25">
      <c r="A267" s="48" t="s">
        <v>36</v>
      </c>
      <c r="B267" s="197"/>
      <c r="C267" s="196"/>
      <c r="D267" s="198"/>
      <c r="E267" s="195"/>
      <c r="F267" s="199"/>
      <c r="G267" s="200"/>
      <c r="H267" s="194"/>
      <c r="I267" s="195"/>
      <c r="J267" s="54"/>
      <c r="K267" s="54"/>
      <c r="L267" s="197"/>
      <c r="M267" s="196"/>
      <c r="N267" s="41"/>
      <c r="O267" s="41"/>
      <c r="P267" s="197"/>
      <c r="Q267" s="194"/>
      <c r="R267" s="194"/>
      <c r="S267" s="194"/>
      <c r="T267" s="196"/>
      <c r="U267" s="198"/>
      <c r="V267" s="196"/>
      <c r="W267" s="41"/>
      <c r="X267" s="37"/>
      <c r="Y267" s="48" t="s">
        <v>35</v>
      </c>
      <c r="Z267" s="49"/>
      <c r="AA267" s="50"/>
      <c r="AB267" s="55"/>
      <c r="AC267" s="56"/>
      <c r="AD267" s="37"/>
    </row>
    <row r="268" spans="1:30" ht="16" thickBot="1" x14ac:dyDescent="0.25">
      <c r="A268" s="48" t="s">
        <v>26</v>
      </c>
      <c r="B268" s="192"/>
      <c r="C268" s="193"/>
      <c r="D268" s="194"/>
      <c r="E268" s="196"/>
      <c r="F268" s="198"/>
      <c r="G268" s="196"/>
      <c r="H268" s="198"/>
      <c r="I268" s="196"/>
      <c r="J268" s="41"/>
      <c r="K268" s="54"/>
      <c r="L268" s="197"/>
      <c r="M268" s="196"/>
      <c r="N268" s="41"/>
      <c r="O268" s="41"/>
      <c r="P268" s="197"/>
      <c r="Q268" s="194"/>
      <c r="R268" s="194"/>
      <c r="S268" s="194"/>
      <c r="T268" s="195"/>
      <c r="U268" s="199"/>
      <c r="V268" s="201"/>
      <c r="W268" s="42"/>
      <c r="X268" s="37"/>
      <c r="Y268" s="48" t="s">
        <v>37</v>
      </c>
      <c r="Z268" s="57"/>
      <c r="AA268" s="58"/>
      <c r="AB268" s="51"/>
      <c r="AC268" s="59"/>
      <c r="AD268" s="37"/>
    </row>
    <row r="269" spans="1:30" ht="16" thickBot="1" x14ac:dyDescent="0.25">
      <c r="A269" s="48" t="s">
        <v>30</v>
      </c>
      <c r="B269" s="197"/>
      <c r="C269" s="196"/>
      <c r="D269" s="198"/>
      <c r="E269" s="196"/>
      <c r="F269" s="198"/>
      <c r="G269" s="196"/>
      <c r="H269" s="198"/>
      <c r="I269" s="195"/>
      <c r="J269" s="54"/>
      <c r="K269" s="54"/>
      <c r="L269" s="197"/>
      <c r="M269" s="196"/>
      <c r="N269" s="41"/>
      <c r="O269" s="41"/>
      <c r="P269" s="197"/>
      <c r="Q269" s="194"/>
      <c r="R269" s="194"/>
      <c r="S269" s="194"/>
      <c r="T269" s="196"/>
      <c r="U269" s="198"/>
      <c r="V269" s="196"/>
      <c r="W269" s="41"/>
      <c r="X269" s="37"/>
      <c r="Y269" s="60" t="s">
        <v>71</v>
      </c>
      <c r="Z269" s="61"/>
      <c r="AA269" s="62"/>
      <c r="AB269" s="63"/>
      <c r="AC269" s="64"/>
      <c r="AD269" s="37"/>
    </row>
    <row r="270" spans="1:30" x14ac:dyDescent="0.2">
      <c r="A270" s="48" t="s">
        <v>35</v>
      </c>
      <c r="B270" s="192"/>
      <c r="C270" s="193"/>
      <c r="D270" s="194"/>
      <c r="E270" s="195"/>
      <c r="F270" s="192"/>
      <c r="G270" s="193"/>
      <c r="H270" s="194"/>
      <c r="I270" s="196"/>
      <c r="J270" s="41"/>
      <c r="K270" s="41"/>
      <c r="L270" s="197"/>
      <c r="M270" s="196"/>
      <c r="N270" s="41"/>
      <c r="O270" s="41"/>
      <c r="P270" s="197"/>
      <c r="Q270" s="194"/>
      <c r="R270" s="194"/>
      <c r="S270" s="194"/>
      <c r="T270" s="196"/>
      <c r="U270" s="198"/>
      <c r="V270" s="196"/>
      <c r="W270" s="41"/>
      <c r="X270" s="37"/>
      <c r="Y270" s="37"/>
      <c r="Z270" s="37"/>
      <c r="AA270" s="37"/>
      <c r="AB270" s="37"/>
      <c r="AC270" s="37"/>
      <c r="AD270" s="37"/>
    </row>
    <row r="271" spans="1:30" x14ac:dyDescent="0.2">
      <c r="A271" s="48" t="s">
        <v>41</v>
      </c>
      <c r="B271" s="199"/>
      <c r="C271" s="200"/>
      <c r="D271" s="194"/>
      <c r="E271" s="196"/>
      <c r="F271" s="198"/>
      <c r="G271" s="196"/>
      <c r="H271" s="198"/>
      <c r="I271" s="195"/>
      <c r="J271" s="54"/>
      <c r="K271" s="54"/>
      <c r="L271" s="197"/>
      <c r="M271" s="196"/>
      <c r="N271" s="41"/>
      <c r="O271" s="41"/>
      <c r="P271" s="197"/>
      <c r="Q271" s="194"/>
      <c r="R271" s="194"/>
      <c r="S271" s="194"/>
      <c r="T271" s="196"/>
      <c r="U271" s="198"/>
      <c r="V271" s="196"/>
      <c r="W271" s="41"/>
      <c r="X271" s="37"/>
      <c r="Y271" s="37"/>
      <c r="Z271" s="37"/>
      <c r="AA271" s="37"/>
      <c r="AB271" s="37"/>
      <c r="AC271" s="37"/>
      <c r="AD271" s="37"/>
    </row>
    <row r="272" spans="1:30" x14ac:dyDescent="0.2">
      <c r="A272" s="48" t="s">
        <v>37</v>
      </c>
      <c r="B272" s="197"/>
      <c r="C272" s="196"/>
      <c r="D272" s="198"/>
      <c r="E272" s="196"/>
      <c r="F272" s="198"/>
      <c r="G272" s="196"/>
      <c r="H272" s="198"/>
      <c r="I272" s="196"/>
      <c r="J272" s="41"/>
      <c r="K272" s="54"/>
      <c r="L272" s="197"/>
      <c r="M272" s="196"/>
      <c r="N272" s="41"/>
      <c r="O272" s="41"/>
      <c r="P272" s="197"/>
      <c r="Q272" s="194"/>
      <c r="R272" s="194"/>
      <c r="S272" s="194"/>
      <c r="T272" s="195"/>
      <c r="U272" s="199"/>
      <c r="V272" s="201"/>
      <c r="W272" s="42"/>
      <c r="X272" s="37"/>
      <c r="Y272" s="37"/>
      <c r="Z272" s="37"/>
      <c r="AA272" s="37"/>
      <c r="AB272" s="37"/>
      <c r="AC272" s="37"/>
      <c r="AD272" s="37"/>
    </row>
  </sheetData>
  <mergeCells count="1680">
    <mergeCell ref="B228:C228"/>
    <mergeCell ref="D228:E228"/>
    <mergeCell ref="F228:G228"/>
    <mergeCell ref="H228:I228"/>
    <mergeCell ref="L228:M228"/>
    <mergeCell ref="P228:T228"/>
    <mergeCell ref="U228:V228"/>
    <mergeCell ref="B229:C229"/>
    <mergeCell ref="D229:E229"/>
    <mergeCell ref="F229:G229"/>
    <mergeCell ref="H229:I229"/>
    <mergeCell ref="L229:M229"/>
    <mergeCell ref="P229:T229"/>
    <mergeCell ref="U229:V229"/>
    <mergeCell ref="B230:C230"/>
    <mergeCell ref="D230:E230"/>
    <mergeCell ref="F230:G230"/>
    <mergeCell ref="H230:I230"/>
    <mergeCell ref="L230:M230"/>
    <mergeCell ref="P230:T230"/>
    <mergeCell ref="U230:V230"/>
    <mergeCell ref="B225:C225"/>
    <mergeCell ref="D225:E225"/>
    <mergeCell ref="F225:G225"/>
    <mergeCell ref="H225:I225"/>
    <mergeCell ref="L225:M225"/>
    <mergeCell ref="P225:T225"/>
    <mergeCell ref="U225:V225"/>
    <mergeCell ref="B226:C226"/>
    <mergeCell ref="D226:E226"/>
    <mergeCell ref="F226:G226"/>
    <mergeCell ref="H226:I226"/>
    <mergeCell ref="L226:M226"/>
    <mergeCell ref="P226:T226"/>
    <mergeCell ref="U226:V226"/>
    <mergeCell ref="B227:C227"/>
    <mergeCell ref="D227:E227"/>
    <mergeCell ref="F227:G227"/>
    <mergeCell ref="H227:I227"/>
    <mergeCell ref="L227:M227"/>
    <mergeCell ref="P227:T227"/>
    <mergeCell ref="U227:V227"/>
    <mergeCell ref="B222:C222"/>
    <mergeCell ref="D222:E222"/>
    <mergeCell ref="F222:G222"/>
    <mergeCell ref="H222:I222"/>
    <mergeCell ref="L222:M222"/>
    <mergeCell ref="P222:T222"/>
    <mergeCell ref="U222:V222"/>
    <mergeCell ref="B223:C223"/>
    <mergeCell ref="D223:E223"/>
    <mergeCell ref="F223:G223"/>
    <mergeCell ref="H223:I223"/>
    <mergeCell ref="L223:M223"/>
    <mergeCell ref="P223:T223"/>
    <mergeCell ref="U223:V223"/>
    <mergeCell ref="B224:C224"/>
    <mergeCell ref="D224:E224"/>
    <mergeCell ref="F224:G224"/>
    <mergeCell ref="H224:I224"/>
    <mergeCell ref="L224:M224"/>
    <mergeCell ref="P224:T224"/>
    <mergeCell ref="U224:V224"/>
    <mergeCell ref="B219:C219"/>
    <mergeCell ref="D219:E219"/>
    <mergeCell ref="F219:G219"/>
    <mergeCell ref="H219:I219"/>
    <mergeCell ref="L219:M219"/>
    <mergeCell ref="P219:T219"/>
    <mergeCell ref="U219:V219"/>
    <mergeCell ref="B220:C220"/>
    <mergeCell ref="D220:E220"/>
    <mergeCell ref="F220:G220"/>
    <mergeCell ref="H220:I220"/>
    <mergeCell ref="L220:M220"/>
    <mergeCell ref="P220:T220"/>
    <mergeCell ref="U220:V220"/>
    <mergeCell ref="B221:C221"/>
    <mergeCell ref="D221:E221"/>
    <mergeCell ref="F221:G221"/>
    <mergeCell ref="H221:I221"/>
    <mergeCell ref="L221:M221"/>
    <mergeCell ref="P221:T221"/>
    <mergeCell ref="U221:V221"/>
    <mergeCell ref="B216:C216"/>
    <mergeCell ref="D216:E216"/>
    <mergeCell ref="F216:G216"/>
    <mergeCell ref="H216:I216"/>
    <mergeCell ref="L216:M216"/>
    <mergeCell ref="P216:T216"/>
    <mergeCell ref="U216:V216"/>
    <mergeCell ref="AB216:AC216"/>
    <mergeCell ref="B217:C217"/>
    <mergeCell ref="D217:E217"/>
    <mergeCell ref="F217:G217"/>
    <mergeCell ref="H217:I217"/>
    <mergeCell ref="L217:M217"/>
    <mergeCell ref="P217:T217"/>
    <mergeCell ref="U217:V217"/>
    <mergeCell ref="B218:C218"/>
    <mergeCell ref="D218:E218"/>
    <mergeCell ref="F218:G218"/>
    <mergeCell ref="H218:I218"/>
    <mergeCell ref="L218:M218"/>
    <mergeCell ref="P218:T218"/>
    <mergeCell ref="U218:V218"/>
    <mergeCell ref="A211:AD212"/>
    <mergeCell ref="B213:C214"/>
    <mergeCell ref="D213:E214"/>
    <mergeCell ref="F213:G214"/>
    <mergeCell ref="H213:I214"/>
    <mergeCell ref="J213:J214"/>
    <mergeCell ref="K213:K214"/>
    <mergeCell ref="L213:M214"/>
    <mergeCell ref="N213:N214"/>
    <mergeCell ref="O213:O214"/>
    <mergeCell ref="P213:T214"/>
    <mergeCell ref="U213:V214"/>
    <mergeCell ref="Z213:AC213"/>
    <mergeCell ref="Z214:AA214"/>
    <mergeCell ref="AB214:AC214"/>
    <mergeCell ref="B215:C215"/>
    <mergeCell ref="D215:E215"/>
    <mergeCell ref="F215:G215"/>
    <mergeCell ref="H215:I215"/>
    <mergeCell ref="L215:M215"/>
    <mergeCell ref="P215:T215"/>
    <mergeCell ref="U215:V215"/>
    <mergeCell ref="B146:C146"/>
    <mergeCell ref="D146:E146"/>
    <mergeCell ref="F146:G146"/>
    <mergeCell ref="H146:I146"/>
    <mergeCell ref="L146:M146"/>
    <mergeCell ref="P146:T146"/>
    <mergeCell ref="U146:V146"/>
    <mergeCell ref="B144:C144"/>
    <mergeCell ref="D144:E144"/>
    <mergeCell ref="F144:G144"/>
    <mergeCell ref="H144:I144"/>
    <mergeCell ref="L144:M144"/>
    <mergeCell ref="P144:T144"/>
    <mergeCell ref="U144:V144"/>
    <mergeCell ref="B145:C145"/>
    <mergeCell ref="D145:E145"/>
    <mergeCell ref="F145:G145"/>
    <mergeCell ref="H145:I145"/>
    <mergeCell ref="L145:M145"/>
    <mergeCell ref="P145:T145"/>
    <mergeCell ref="U145:V145"/>
    <mergeCell ref="B142:C142"/>
    <mergeCell ref="D142:E142"/>
    <mergeCell ref="F142:G142"/>
    <mergeCell ref="H142:I142"/>
    <mergeCell ref="L142:M142"/>
    <mergeCell ref="P142:T142"/>
    <mergeCell ref="U142:V142"/>
    <mergeCell ref="B143:C143"/>
    <mergeCell ref="D143:E143"/>
    <mergeCell ref="F143:G143"/>
    <mergeCell ref="H143:I143"/>
    <mergeCell ref="L143:M143"/>
    <mergeCell ref="P143:T143"/>
    <mergeCell ref="U143:V143"/>
    <mergeCell ref="B141:C141"/>
    <mergeCell ref="D141:E141"/>
    <mergeCell ref="F141:G141"/>
    <mergeCell ref="H141:I141"/>
    <mergeCell ref="L141:M141"/>
    <mergeCell ref="P141:T141"/>
    <mergeCell ref="U141:V141"/>
    <mergeCell ref="B138:C138"/>
    <mergeCell ref="D138:E138"/>
    <mergeCell ref="F138:G138"/>
    <mergeCell ref="H138:I138"/>
    <mergeCell ref="L138:M138"/>
    <mergeCell ref="P138:T138"/>
    <mergeCell ref="U138:V138"/>
    <mergeCell ref="B137:C137"/>
    <mergeCell ref="D137:E137"/>
    <mergeCell ref="F137:G137"/>
    <mergeCell ref="H137:I137"/>
    <mergeCell ref="L137:M137"/>
    <mergeCell ref="P137:T137"/>
    <mergeCell ref="U137:V137"/>
    <mergeCell ref="B140:C140"/>
    <mergeCell ref="D140:E140"/>
    <mergeCell ref="F140:G140"/>
    <mergeCell ref="H140:I140"/>
    <mergeCell ref="L140:M140"/>
    <mergeCell ref="P140:T140"/>
    <mergeCell ref="U140:V140"/>
    <mergeCell ref="B139:C139"/>
    <mergeCell ref="D139:E139"/>
    <mergeCell ref="F139:G139"/>
    <mergeCell ref="H139:I139"/>
    <mergeCell ref="L139:M139"/>
    <mergeCell ref="P139:T139"/>
    <mergeCell ref="U139:V139"/>
    <mergeCell ref="B134:C134"/>
    <mergeCell ref="D134:E134"/>
    <mergeCell ref="F134:G134"/>
    <mergeCell ref="H134:I134"/>
    <mergeCell ref="L134:M134"/>
    <mergeCell ref="P134:T134"/>
    <mergeCell ref="U134:V134"/>
    <mergeCell ref="B133:C133"/>
    <mergeCell ref="D133:E133"/>
    <mergeCell ref="F133:G133"/>
    <mergeCell ref="H133:I133"/>
    <mergeCell ref="L133:M133"/>
    <mergeCell ref="P133:T133"/>
    <mergeCell ref="U133:V133"/>
    <mergeCell ref="B136:C136"/>
    <mergeCell ref="D136:E136"/>
    <mergeCell ref="F136:G136"/>
    <mergeCell ref="H136:I136"/>
    <mergeCell ref="L136:M136"/>
    <mergeCell ref="P136:T136"/>
    <mergeCell ref="U136:V136"/>
    <mergeCell ref="B135:C135"/>
    <mergeCell ref="D135:E135"/>
    <mergeCell ref="F135:G135"/>
    <mergeCell ref="H135:I135"/>
    <mergeCell ref="L135:M135"/>
    <mergeCell ref="P135:T135"/>
    <mergeCell ref="U135:V135"/>
    <mergeCell ref="P129:T130"/>
    <mergeCell ref="U129:V130"/>
    <mergeCell ref="Z129:AC129"/>
    <mergeCell ref="Z130:AA130"/>
    <mergeCell ref="AB130:AC130"/>
    <mergeCell ref="B125:C125"/>
    <mergeCell ref="D125:E125"/>
    <mergeCell ref="F125:G125"/>
    <mergeCell ref="H125:I125"/>
    <mergeCell ref="L125:M125"/>
    <mergeCell ref="P125:T125"/>
    <mergeCell ref="U125:V125"/>
    <mergeCell ref="B132:C132"/>
    <mergeCell ref="D132:E132"/>
    <mergeCell ref="F132:G132"/>
    <mergeCell ref="H132:I132"/>
    <mergeCell ref="L132:M132"/>
    <mergeCell ref="P132:T132"/>
    <mergeCell ref="U132:V132"/>
    <mergeCell ref="B131:C131"/>
    <mergeCell ref="D131:E131"/>
    <mergeCell ref="F131:G131"/>
    <mergeCell ref="H131:I131"/>
    <mergeCell ref="L131:M131"/>
    <mergeCell ref="P131:T131"/>
    <mergeCell ref="U131:V131"/>
    <mergeCell ref="A127:AD128"/>
    <mergeCell ref="B129:C130"/>
    <mergeCell ref="D129:E130"/>
    <mergeCell ref="F129:G130"/>
    <mergeCell ref="H129:I130"/>
    <mergeCell ref="J129:J130"/>
    <mergeCell ref="B124:C124"/>
    <mergeCell ref="D124:E124"/>
    <mergeCell ref="F124:G124"/>
    <mergeCell ref="H124:I124"/>
    <mergeCell ref="L124:M124"/>
    <mergeCell ref="P124:T124"/>
    <mergeCell ref="U124:V124"/>
    <mergeCell ref="B121:C121"/>
    <mergeCell ref="D121:E121"/>
    <mergeCell ref="F121:G121"/>
    <mergeCell ref="H121:I121"/>
    <mergeCell ref="L121:M121"/>
    <mergeCell ref="P121:T121"/>
    <mergeCell ref="U121:V121"/>
    <mergeCell ref="B122:C122"/>
    <mergeCell ref="D122:E122"/>
    <mergeCell ref="F122:G122"/>
    <mergeCell ref="H122:I122"/>
    <mergeCell ref="L122:M122"/>
    <mergeCell ref="P122:T122"/>
    <mergeCell ref="U122:V122"/>
    <mergeCell ref="B120:C120"/>
    <mergeCell ref="D120:E120"/>
    <mergeCell ref="F120:G120"/>
    <mergeCell ref="H120:I120"/>
    <mergeCell ref="L120:M120"/>
    <mergeCell ref="P120:T120"/>
    <mergeCell ref="U120:V120"/>
    <mergeCell ref="B119:C119"/>
    <mergeCell ref="D119:E119"/>
    <mergeCell ref="F119:G119"/>
    <mergeCell ref="H119:I119"/>
    <mergeCell ref="L119:M119"/>
    <mergeCell ref="P119:T119"/>
    <mergeCell ref="U119:V119"/>
    <mergeCell ref="B123:C123"/>
    <mergeCell ref="D123:E123"/>
    <mergeCell ref="F123:G123"/>
    <mergeCell ref="H123:I123"/>
    <mergeCell ref="L123:M123"/>
    <mergeCell ref="P123:T123"/>
    <mergeCell ref="U123:V123"/>
    <mergeCell ref="B116:C116"/>
    <mergeCell ref="D116:E116"/>
    <mergeCell ref="F116:G116"/>
    <mergeCell ref="H116:I116"/>
    <mergeCell ref="L116:M116"/>
    <mergeCell ref="P116:T116"/>
    <mergeCell ref="U116:V116"/>
    <mergeCell ref="B115:C115"/>
    <mergeCell ref="D115:E115"/>
    <mergeCell ref="F115:G115"/>
    <mergeCell ref="H115:I115"/>
    <mergeCell ref="L115:M115"/>
    <mergeCell ref="P115:T115"/>
    <mergeCell ref="U115:V115"/>
    <mergeCell ref="B118:C118"/>
    <mergeCell ref="D118:E118"/>
    <mergeCell ref="F118:G118"/>
    <mergeCell ref="H118:I118"/>
    <mergeCell ref="L118:M118"/>
    <mergeCell ref="P118:T118"/>
    <mergeCell ref="U118:V118"/>
    <mergeCell ref="B117:C117"/>
    <mergeCell ref="D117:E117"/>
    <mergeCell ref="F117:G117"/>
    <mergeCell ref="H117:I117"/>
    <mergeCell ref="L117:M117"/>
    <mergeCell ref="P117:T117"/>
    <mergeCell ref="U117:V117"/>
    <mergeCell ref="L1:M2"/>
    <mergeCell ref="N1:N2"/>
    <mergeCell ref="O1:O2"/>
    <mergeCell ref="P1:T2"/>
    <mergeCell ref="U1:V2"/>
    <mergeCell ref="Z1:AC1"/>
    <mergeCell ref="B1:C2"/>
    <mergeCell ref="D1:E2"/>
    <mergeCell ref="F1:G2"/>
    <mergeCell ref="H1:I2"/>
    <mergeCell ref="J1:J2"/>
    <mergeCell ref="K1:K2"/>
    <mergeCell ref="U3:V3"/>
    <mergeCell ref="B110:C110"/>
    <mergeCell ref="D110:E110"/>
    <mergeCell ref="F110:G110"/>
    <mergeCell ref="H110:I110"/>
    <mergeCell ref="L110:M110"/>
    <mergeCell ref="P110:T110"/>
    <mergeCell ref="U110:V110"/>
    <mergeCell ref="B108:C109"/>
    <mergeCell ref="D108:E109"/>
    <mergeCell ref="F108:G109"/>
    <mergeCell ref="H108:I109"/>
    <mergeCell ref="J108:J109"/>
    <mergeCell ref="K108:K109"/>
    <mergeCell ref="L108:M109"/>
    <mergeCell ref="N108:N109"/>
    <mergeCell ref="O108:O109"/>
    <mergeCell ref="P108:T109"/>
    <mergeCell ref="U108:V109"/>
    <mergeCell ref="B4:C4"/>
    <mergeCell ref="D4:E4"/>
    <mergeCell ref="F4:G4"/>
    <mergeCell ref="H4:I4"/>
    <mergeCell ref="L4:M4"/>
    <mergeCell ref="P4:T4"/>
    <mergeCell ref="U4:V4"/>
    <mergeCell ref="B3:C3"/>
    <mergeCell ref="D3:E3"/>
    <mergeCell ref="F3:G3"/>
    <mergeCell ref="H3:I3"/>
    <mergeCell ref="L3:M3"/>
    <mergeCell ref="P3:T3"/>
    <mergeCell ref="B5:C5"/>
    <mergeCell ref="D5:E5"/>
    <mergeCell ref="F5:G5"/>
    <mergeCell ref="H5:I5"/>
    <mergeCell ref="L5:M5"/>
    <mergeCell ref="P5:T5"/>
    <mergeCell ref="U5:V5"/>
    <mergeCell ref="B6:C6"/>
    <mergeCell ref="D6:E6"/>
    <mergeCell ref="F6:G6"/>
    <mergeCell ref="H6:I6"/>
    <mergeCell ref="L6:M6"/>
    <mergeCell ref="P6:T6"/>
    <mergeCell ref="U6:V6"/>
    <mergeCell ref="U7:V7"/>
    <mergeCell ref="B8:C8"/>
    <mergeCell ref="D8:E8"/>
    <mergeCell ref="F8:G8"/>
    <mergeCell ref="H8:I8"/>
    <mergeCell ref="L8:M8"/>
    <mergeCell ref="P8:T8"/>
    <mergeCell ref="U8:V8"/>
    <mergeCell ref="B7:C7"/>
    <mergeCell ref="D7:E7"/>
    <mergeCell ref="F7:G7"/>
    <mergeCell ref="H7:I7"/>
    <mergeCell ref="L7:M7"/>
    <mergeCell ref="P7:T7"/>
    <mergeCell ref="U11:V11"/>
    <mergeCell ref="B12:C12"/>
    <mergeCell ref="D12:E12"/>
    <mergeCell ref="F12:G12"/>
    <mergeCell ref="H12:I12"/>
    <mergeCell ref="L12:M12"/>
    <mergeCell ref="P12:T12"/>
    <mergeCell ref="U12:V12"/>
    <mergeCell ref="B11:C11"/>
    <mergeCell ref="D11:E11"/>
    <mergeCell ref="F11:G11"/>
    <mergeCell ref="H11:I11"/>
    <mergeCell ref="L11:M11"/>
    <mergeCell ref="P11:T11"/>
    <mergeCell ref="B9:C9"/>
    <mergeCell ref="D9:E9"/>
    <mergeCell ref="F9:G9"/>
    <mergeCell ref="H9:I9"/>
    <mergeCell ref="L9:M9"/>
    <mergeCell ref="P9:T9"/>
    <mergeCell ref="U9:V9"/>
    <mergeCell ref="B10:C10"/>
    <mergeCell ref="D10:E10"/>
    <mergeCell ref="F10:G10"/>
    <mergeCell ref="H10:I10"/>
    <mergeCell ref="L10:M10"/>
    <mergeCell ref="P10:T10"/>
    <mergeCell ref="U10:V10"/>
    <mergeCell ref="D17:E17"/>
    <mergeCell ref="F17:G17"/>
    <mergeCell ref="H17:I17"/>
    <mergeCell ref="L17:M17"/>
    <mergeCell ref="P17:T17"/>
    <mergeCell ref="B14:C14"/>
    <mergeCell ref="D14:E14"/>
    <mergeCell ref="F14:G14"/>
    <mergeCell ref="H14:I14"/>
    <mergeCell ref="L14:M14"/>
    <mergeCell ref="P14:T14"/>
    <mergeCell ref="U14:V14"/>
    <mergeCell ref="B13:C13"/>
    <mergeCell ref="D13:E13"/>
    <mergeCell ref="F13:G13"/>
    <mergeCell ref="H13:I13"/>
    <mergeCell ref="L13:M13"/>
    <mergeCell ref="P13:T13"/>
    <mergeCell ref="U13:V13"/>
    <mergeCell ref="Z24:AC24"/>
    <mergeCell ref="Z25:AA25"/>
    <mergeCell ref="B24:C25"/>
    <mergeCell ref="D24:E25"/>
    <mergeCell ref="F24:G25"/>
    <mergeCell ref="H24:I25"/>
    <mergeCell ref="J24:J25"/>
    <mergeCell ref="K24:K25"/>
    <mergeCell ref="U26:V26"/>
    <mergeCell ref="U15:V15"/>
    <mergeCell ref="B16:C16"/>
    <mergeCell ref="D16:E16"/>
    <mergeCell ref="F16:G16"/>
    <mergeCell ref="H16:I16"/>
    <mergeCell ref="L16:M16"/>
    <mergeCell ref="P16:T16"/>
    <mergeCell ref="U16:V16"/>
    <mergeCell ref="B15:C15"/>
    <mergeCell ref="D15:E15"/>
    <mergeCell ref="F15:G15"/>
    <mergeCell ref="H15:I15"/>
    <mergeCell ref="L15:M15"/>
    <mergeCell ref="P15:T15"/>
    <mergeCell ref="U17:V17"/>
    <mergeCell ref="B18:C18"/>
    <mergeCell ref="D18:E18"/>
    <mergeCell ref="F18:G18"/>
    <mergeCell ref="H18:I18"/>
    <mergeCell ref="L18:M18"/>
    <mergeCell ref="P18:T18"/>
    <mergeCell ref="U18:V18"/>
    <mergeCell ref="B17:C17"/>
    <mergeCell ref="B27:C27"/>
    <mergeCell ref="D27:E27"/>
    <mergeCell ref="F27:G27"/>
    <mergeCell ref="H27:I27"/>
    <mergeCell ref="L27:M27"/>
    <mergeCell ref="P27:T27"/>
    <mergeCell ref="U27:V27"/>
    <mergeCell ref="B26:C26"/>
    <mergeCell ref="D26:E26"/>
    <mergeCell ref="F26:G26"/>
    <mergeCell ref="H26:I26"/>
    <mergeCell ref="L26:M26"/>
    <mergeCell ref="P26:T26"/>
    <mergeCell ref="U28:V28"/>
    <mergeCell ref="L24:M25"/>
    <mergeCell ref="N24:N25"/>
    <mergeCell ref="O24:O25"/>
    <mergeCell ref="P24:T25"/>
    <mergeCell ref="U24:V25"/>
    <mergeCell ref="B30:C30"/>
    <mergeCell ref="D30:E30"/>
    <mergeCell ref="F30:G30"/>
    <mergeCell ref="H30:I30"/>
    <mergeCell ref="L30:M30"/>
    <mergeCell ref="P30:T30"/>
    <mergeCell ref="U32:V32"/>
    <mergeCell ref="B29:C29"/>
    <mergeCell ref="D29:E29"/>
    <mergeCell ref="F29:G29"/>
    <mergeCell ref="H29:I29"/>
    <mergeCell ref="L29:M29"/>
    <mergeCell ref="P29:T29"/>
    <mergeCell ref="U29:V29"/>
    <mergeCell ref="B28:C28"/>
    <mergeCell ref="D28:E28"/>
    <mergeCell ref="F28:G28"/>
    <mergeCell ref="H28:I28"/>
    <mergeCell ref="L28:M28"/>
    <mergeCell ref="P28:T28"/>
    <mergeCell ref="U30:V30"/>
    <mergeCell ref="B33:C33"/>
    <mergeCell ref="D33:E33"/>
    <mergeCell ref="F33:G33"/>
    <mergeCell ref="H33:I33"/>
    <mergeCell ref="L33:M33"/>
    <mergeCell ref="P33:T33"/>
    <mergeCell ref="U33:V33"/>
    <mergeCell ref="B32:C32"/>
    <mergeCell ref="D32:E32"/>
    <mergeCell ref="F32:G32"/>
    <mergeCell ref="H32:I32"/>
    <mergeCell ref="L32:M32"/>
    <mergeCell ref="P32:T32"/>
    <mergeCell ref="U34:V34"/>
    <mergeCell ref="B31:C31"/>
    <mergeCell ref="D31:E31"/>
    <mergeCell ref="F31:G31"/>
    <mergeCell ref="H31:I31"/>
    <mergeCell ref="L31:M31"/>
    <mergeCell ref="P31:T31"/>
    <mergeCell ref="U31:V31"/>
    <mergeCell ref="B35:C35"/>
    <mergeCell ref="D35:E35"/>
    <mergeCell ref="F35:G35"/>
    <mergeCell ref="H35:I35"/>
    <mergeCell ref="L35:M35"/>
    <mergeCell ref="P35:T35"/>
    <mergeCell ref="U35:V35"/>
    <mergeCell ref="B34:C34"/>
    <mergeCell ref="D34:E34"/>
    <mergeCell ref="F34:G34"/>
    <mergeCell ref="H34:I34"/>
    <mergeCell ref="L34:M34"/>
    <mergeCell ref="P34:T34"/>
    <mergeCell ref="U36:V36"/>
    <mergeCell ref="D36:E36"/>
    <mergeCell ref="F36:G36"/>
    <mergeCell ref="H36:I36"/>
    <mergeCell ref="L36:M36"/>
    <mergeCell ref="P36:T36"/>
    <mergeCell ref="B37:C37"/>
    <mergeCell ref="D37:E37"/>
    <mergeCell ref="F37:G37"/>
    <mergeCell ref="H37:I37"/>
    <mergeCell ref="L37:M37"/>
    <mergeCell ref="P37:T37"/>
    <mergeCell ref="U37:V37"/>
    <mergeCell ref="B36:C36"/>
    <mergeCell ref="D40:E40"/>
    <mergeCell ref="F40:G40"/>
    <mergeCell ref="H40:I40"/>
    <mergeCell ref="L40:M40"/>
    <mergeCell ref="P40:T40"/>
    <mergeCell ref="U38:V38"/>
    <mergeCell ref="B39:C39"/>
    <mergeCell ref="D39:E39"/>
    <mergeCell ref="F39:G39"/>
    <mergeCell ref="H39:I39"/>
    <mergeCell ref="L39:M39"/>
    <mergeCell ref="P39:T39"/>
    <mergeCell ref="U39:V39"/>
    <mergeCell ref="B38:C38"/>
    <mergeCell ref="D38:E38"/>
    <mergeCell ref="F38:G38"/>
    <mergeCell ref="H38:I38"/>
    <mergeCell ref="L38:M38"/>
    <mergeCell ref="P38:T38"/>
    <mergeCell ref="Z45:AC45"/>
    <mergeCell ref="Z46:AA46"/>
    <mergeCell ref="B45:C46"/>
    <mergeCell ref="D45:E46"/>
    <mergeCell ref="F45:G46"/>
    <mergeCell ref="H45:I46"/>
    <mergeCell ref="J45:J46"/>
    <mergeCell ref="K45:K46"/>
    <mergeCell ref="L45:M46"/>
    <mergeCell ref="N45:N46"/>
    <mergeCell ref="U40:V40"/>
    <mergeCell ref="B41:C41"/>
    <mergeCell ref="D41:E41"/>
    <mergeCell ref="F41:G41"/>
    <mergeCell ref="H41:I41"/>
    <mergeCell ref="L41:M41"/>
    <mergeCell ref="P41:T41"/>
    <mergeCell ref="U41:V41"/>
    <mergeCell ref="B40:C40"/>
    <mergeCell ref="U47:V47"/>
    <mergeCell ref="B48:C48"/>
    <mergeCell ref="D48:E48"/>
    <mergeCell ref="F48:G48"/>
    <mergeCell ref="H48:I48"/>
    <mergeCell ref="L48:M48"/>
    <mergeCell ref="P48:T48"/>
    <mergeCell ref="U48:V48"/>
    <mergeCell ref="B47:C47"/>
    <mergeCell ref="D47:E47"/>
    <mergeCell ref="F47:G47"/>
    <mergeCell ref="H47:I47"/>
    <mergeCell ref="L47:M47"/>
    <mergeCell ref="P47:T47"/>
    <mergeCell ref="O45:O46"/>
    <mergeCell ref="P45:T46"/>
    <mergeCell ref="U45:V46"/>
    <mergeCell ref="U51:V51"/>
    <mergeCell ref="B52:C52"/>
    <mergeCell ref="D52:E52"/>
    <mergeCell ref="F52:G52"/>
    <mergeCell ref="H52:I52"/>
    <mergeCell ref="L52:M52"/>
    <mergeCell ref="P52:T52"/>
    <mergeCell ref="U52:V52"/>
    <mergeCell ref="B51:C51"/>
    <mergeCell ref="D51:E51"/>
    <mergeCell ref="F51:G51"/>
    <mergeCell ref="H51:I51"/>
    <mergeCell ref="L51:M51"/>
    <mergeCell ref="P51:T51"/>
    <mergeCell ref="B49:C49"/>
    <mergeCell ref="D49:E49"/>
    <mergeCell ref="F49:G49"/>
    <mergeCell ref="H49:I49"/>
    <mergeCell ref="L49:M49"/>
    <mergeCell ref="P49:T49"/>
    <mergeCell ref="U49:V49"/>
    <mergeCell ref="B50:C50"/>
    <mergeCell ref="D50:E50"/>
    <mergeCell ref="F50:G50"/>
    <mergeCell ref="H50:I50"/>
    <mergeCell ref="L50:M50"/>
    <mergeCell ref="P50:T50"/>
    <mergeCell ref="U50:V50"/>
    <mergeCell ref="D56:E56"/>
    <mergeCell ref="F56:G56"/>
    <mergeCell ref="H56:I56"/>
    <mergeCell ref="B53:C53"/>
    <mergeCell ref="D53:E53"/>
    <mergeCell ref="F53:G53"/>
    <mergeCell ref="H53:I53"/>
    <mergeCell ref="L53:M53"/>
    <mergeCell ref="P53:T53"/>
    <mergeCell ref="U53:V53"/>
    <mergeCell ref="B54:C54"/>
    <mergeCell ref="D54:E54"/>
    <mergeCell ref="F54:G54"/>
    <mergeCell ref="H54:I54"/>
    <mergeCell ref="L54:M54"/>
    <mergeCell ref="P54:T54"/>
    <mergeCell ref="U54:V54"/>
    <mergeCell ref="L56:M56"/>
    <mergeCell ref="P56:T56"/>
    <mergeCell ref="U56:V56"/>
    <mergeCell ref="B55:C55"/>
    <mergeCell ref="D55:E55"/>
    <mergeCell ref="F55:G55"/>
    <mergeCell ref="H55:I55"/>
    <mergeCell ref="L55:M55"/>
    <mergeCell ref="P55:T55"/>
    <mergeCell ref="U55:V55"/>
    <mergeCell ref="B56:C56"/>
    <mergeCell ref="B58:C58"/>
    <mergeCell ref="D58:E58"/>
    <mergeCell ref="F58:G58"/>
    <mergeCell ref="H58:I58"/>
    <mergeCell ref="L58:M58"/>
    <mergeCell ref="P58:T58"/>
    <mergeCell ref="U58:V58"/>
    <mergeCell ref="B59:C59"/>
    <mergeCell ref="U61:V61"/>
    <mergeCell ref="D59:E59"/>
    <mergeCell ref="F59:G59"/>
    <mergeCell ref="H59:I59"/>
    <mergeCell ref="L59:M59"/>
    <mergeCell ref="P59:T59"/>
    <mergeCell ref="U59:V59"/>
    <mergeCell ref="B61:C61"/>
    <mergeCell ref="D61:E61"/>
    <mergeCell ref="B62:C62"/>
    <mergeCell ref="D62:E62"/>
    <mergeCell ref="F62:G62"/>
    <mergeCell ref="H62:I62"/>
    <mergeCell ref="L62:M62"/>
    <mergeCell ref="P62:T62"/>
    <mergeCell ref="U62:V62"/>
    <mergeCell ref="F61:G61"/>
    <mergeCell ref="H61:I61"/>
    <mergeCell ref="L61:M61"/>
    <mergeCell ref="P61:T61"/>
    <mergeCell ref="B60:C60"/>
    <mergeCell ref="D60:E60"/>
    <mergeCell ref="F60:G60"/>
    <mergeCell ref="H60:I60"/>
    <mergeCell ref="L60:M60"/>
    <mergeCell ref="P60:T60"/>
    <mergeCell ref="U60:V60"/>
    <mergeCell ref="B68:C68"/>
    <mergeCell ref="D68:E68"/>
    <mergeCell ref="F68:G68"/>
    <mergeCell ref="H68:I68"/>
    <mergeCell ref="L68:M68"/>
    <mergeCell ref="P68:T68"/>
    <mergeCell ref="U68:V68"/>
    <mergeCell ref="B69:C69"/>
    <mergeCell ref="D69:E69"/>
    <mergeCell ref="F69:G69"/>
    <mergeCell ref="H69:I69"/>
    <mergeCell ref="L69:M69"/>
    <mergeCell ref="P69:T69"/>
    <mergeCell ref="U69:V69"/>
    <mergeCell ref="A64:AD65"/>
    <mergeCell ref="B66:C67"/>
    <mergeCell ref="D66:E67"/>
    <mergeCell ref="F66:G67"/>
    <mergeCell ref="H66:I67"/>
    <mergeCell ref="J66:J67"/>
    <mergeCell ref="K66:K67"/>
    <mergeCell ref="L66:M67"/>
    <mergeCell ref="N66:N67"/>
    <mergeCell ref="O66:O67"/>
    <mergeCell ref="P66:T67"/>
    <mergeCell ref="U66:V67"/>
    <mergeCell ref="Z66:AC66"/>
    <mergeCell ref="Z67:AA67"/>
    <mergeCell ref="AB67:AC67"/>
    <mergeCell ref="B72:C72"/>
    <mergeCell ref="D72:E72"/>
    <mergeCell ref="F72:G72"/>
    <mergeCell ref="H72:I72"/>
    <mergeCell ref="L72:M72"/>
    <mergeCell ref="P72:T72"/>
    <mergeCell ref="U72:V72"/>
    <mergeCell ref="B73:C73"/>
    <mergeCell ref="D73:E73"/>
    <mergeCell ref="F73:G73"/>
    <mergeCell ref="H73:I73"/>
    <mergeCell ref="L73:M73"/>
    <mergeCell ref="P73:T73"/>
    <mergeCell ref="U73:V73"/>
    <mergeCell ref="B70:C70"/>
    <mergeCell ref="D70:E70"/>
    <mergeCell ref="F70:G70"/>
    <mergeCell ref="H70:I70"/>
    <mergeCell ref="L70:M70"/>
    <mergeCell ref="P70:T70"/>
    <mergeCell ref="U70:V70"/>
    <mergeCell ref="B71:C71"/>
    <mergeCell ref="D71:E71"/>
    <mergeCell ref="F71:G71"/>
    <mergeCell ref="H71:I71"/>
    <mergeCell ref="L71:M71"/>
    <mergeCell ref="P71:T71"/>
    <mergeCell ref="U71:V71"/>
    <mergeCell ref="B76:C76"/>
    <mergeCell ref="D76:E76"/>
    <mergeCell ref="F76:G76"/>
    <mergeCell ref="H76:I76"/>
    <mergeCell ref="L76:M76"/>
    <mergeCell ref="P76:T76"/>
    <mergeCell ref="U76:V76"/>
    <mergeCell ref="B77:C77"/>
    <mergeCell ref="D77:E77"/>
    <mergeCell ref="F77:G77"/>
    <mergeCell ref="H77:I77"/>
    <mergeCell ref="L77:M77"/>
    <mergeCell ref="P77:T77"/>
    <mergeCell ref="U77:V77"/>
    <mergeCell ref="B74:C74"/>
    <mergeCell ref="D74:E74"/>
    <mergeCell ref="F74:G74"/>
    <mergeCell ref="H74:I74"/>
    <mergeCell ref="L74:M74"/>
    <mergeCell ref="P74:T74"/>
    <mergeCell ref="U74:V74"/>
    <mergeCell ref="B75:C75"/>
    <mergeCell ref="D75:E75"/>
    <mergeCell ref="F75:G75"/>
    <mergeCell ref="H75:I75"/>
    <mergeCell ref="L75:M75"/>
    <mergeCell ref="P75:T75"/>
    <mergeCell ref="U75:V75"/>
    <mergeCell ref="B78:C78"/>
    <mergeCell ref="D78:E78"/>
    <mergeCell ref="F78:G78"/>
    <mergeCell ref="H78:I78"/>
    <mergeCell ref="L78:M78"/>
    <mergeCell ref="P78:T78"/>
    <mergeCell ref="U78:V78"/>
    <mergeCell ref="B79:C79"/>
    <mergeCell ref="D79:E79"/>
    <mergeCell ref="F79:G79"/>
    <mergeCell ref="H79:I79"/>
    <mergeCell ref="L79:M79"/>
    <mergeCell ref="P79:T79"/>
    <mergeCell ref="U79:V79"/>
    <mergeCell ref="B80:C80"/>
    <mergeCell ref="D80:E80"/>
    <mergeCell ref="F80:G80"/>
    <mergeCell ref="H80:I80"/>
    <mergeCell ref="L80:M80"/>
    <mergeCell ref="P80:T80"/>
    <mergeCell ref="U80:V80"/>
    <mergeCell ref="B83:C83"/>
    <mergeCell ref="D83:E83"/>
    <mergeCell ref="F83:G83"/>
    <mergeCell ref="H83:I83"/>
    <mergeCell ref="L83:M83"/>
    <mergeCell ref="P83:T83"/>
    <mergeCell ref="U83:V83"/>
    <mergeCell ref="B81:C81"/>
    <mergeCell ref="D81:E81"/>
    <mergeCell ref="F81:G81"/>
    <mergeCell ref="H81:I81"/>
    <mergeCell ref="L81:M81"/>
    <mergeCell ref="P81:T81"/>
    <mergeCell ref="U81:V81"/>
    <mergeCell ref="B82:C82"/>
    <mergeCell ref="D82:E82"/>
    <mergeCell ref="F82:G82"/>
    <mergeCell ref="H82:I82"/>
    <mergeCell ref="L82:M82"/>
    <mergeCell ref="P82:T82"/>
    <mergeCell ref="U82:V82"/>
    <mergeCell ref="A85:AD86"/>
    <mergeCell ref="B87:C88"/>
    <mergeCell ref="D87:E88"/>
    <mergeCell ref="F87:G88"/>
    <mergeCell ref="H87:I88"/>
    <mergeCell ref="J87:J88"/>
    <mergeCell ref="K87:K88"/>
    <mergeCell ref="L87:M88"/>
    <mergeCell ref="N87:N88"/>
    <mergeCell ref="O87:O88"/>
    <mergeCell ref="P87:T88"/>
    <mergeCell ref="U87:V88"/>
    <mergeCell ref="Z87:AC87"/>
    <mergeCell ref="Z88:AA88"/>
    <mergeCell ref="AB88:AC88"/>
    <mergeCell ref="B89:C89"/>
    <mergeCell ref="D89:E89"/>
    <mergeCell ref="F89:G89"/>
    <mergeCell ref="H89:I89"/>
    <mergeCell ref="L89:M89"/>
    <mergeCell ref="P89:T89"/>
    <mergeCell ref="U89:V89"/>
    <mergeCell ref="B92:C92"/>
    <mergeCell ref="D92:E92"/>
    <mergeCell ref="F92:G92"/>
    <mergeCell ref="H92:I92"/>
    <mergeCell ref="L92:M92"/>
    <mergeCell ref="P92:T92"/>
    <mergeCell ref="U92:V92"/>
    <mergeCell ref="B93:C93"/>
    <mergeCell ref="D93:E93"/>
    <mergeCell ref="F93:G93"/>
    <mergeCell ref="H93:I93"/>
    <mergeCell ref="L93:M93"/>
    <mergeCell ref="P93:T93"/>
    <mergeCell ref="U93:V93"/>
    <mergeCell ref="B90:C90"/>
    <mergeCell ref="D90:E90"/>
    <mergeCell ref="F90:G90"/>
    <mergeCell ref="H90:I90"/>
    <mergeCell ref="L90:M90"/>
    <mergeCell ref="P90:T90"/>
    <mergeCell ref="U90:V90"/>
    <mergeCell ref="B91:C91"/>
    <mergeCell ref="D91:E91"/>
    <mergeCell ref="F91:G91"/>
    <mergeCell ref="H91:I91"/>
    <mergeCell ref="L91:M91"/>
    <mergeCell ref="P91:T91"/>
    <mergeCell ref="U91:V91"/>
    <mergeCell ref="F97:G97"/>
    <mergeCell ref="H97:I97"/>
    <mergeCell ref="L97:M97"/>
    <mergeCell ref="P97:T97"/>
    <mergeCell ref="U97:V97"/>
    <mergeCell ref="B94:C94"/>
    <mergeCell ref="D94:E94"/>
    <mergeCell ref="F94:G94"/>
    <mergeCell ref="H94:I94"/>
    <mergeCell ref="L94:M94"/>
    <mergeCell ref="P94:T94"/>
    <mergeCell ref="U94:V94"/>
    <mergeCell ref="B95:C95"/>
    <mergeCell ref="D95:E95"/>
    <mergeCell ref="F95:G95"/>
    <mergeCell ref="H95:I95"/>
    <mergeCell ref="L95:M95"/>
    <mergeCell ref="P95:T95"/>
    <mergeCell ref="U95:V95"/>
    <mergeCell ref="P104:T104"/>
    <mergeCell ref="U104:V104"/>
    <mergeCell ref="B102:C102"/>
    <mergeCell ref="D102:E102"/>
    <mergeCell ref="F102:G102"/>
    <mergeCell ref="H102:I102"/>
    <mergeCell ref="L102:M102"/>
    <mergeCell ref="P102:T102"/>
    <mergeCell ref="U102:V102"/>
    <mergeCell ref="B103:C103"/>
    <mergeCell ref="D103:E103"/>
    <mergeCell ref="F103:G103"/>
    <mergeCell ref="H103:I103"/>
    <mergeCell ref="L103:M103"/>
    <mergeCell ref="P103:T103"/>
    <mergeCell ref="U103:V103"/>
    <mergeCell ref="B96:C96"/>
    <mergeCell ref="D96:E96"/>
    <mergeCell ref="F96:G96"/>
    <mergeCell ref="H96:I96"/>
    <mergeCell ref="L96:M96"/>
    <mergeCell ref="P96:T96"/>
    <mergeCell ref="U96:V96"/>
    <mergeCell ref="B98:C98"/>
    <mergeCell ref="D98:E98"/>
    <mergeCell ref="F98:G98"/>
    <mergeCell ref="H98:I98"/>
    <mergeCell ref="L98:M98"/>
    <mergeCell ref="P98:T98"/>
    <mergeCell ref="U98:V98"/>
    <mergeCell ref="B97:C97"/>
    <mergeCell ref="D97:E97"/>
    <mergeCell ref="H152:I152"/>
    <mergeCell ref="L152:M152"/>
    <mergeCell ref="P152:T152"/>
    <mergeCell ref="U152:V152"/>
    <mergeCell ref="B99:C99"/>
    <mergeCell ref="D99:E99"/>
    <mergeCell ref="F99:G99"/>
    <mergeCell ref="H99:I99"/>
    <mergeCell ref="L99:M99"/>
    <mergeCell ref="P99:T99"/>
    <mergeCell ref="U99:V99"/>
    <mergeCell ref="L101:M101"/>
    <mergeCell ref="P101:T101"/>
    <mergeCell ref="U101:V101"/>
    <mergeCell ref="B100:C100"/>
    <mergeCell ref="D100:E100"/>
    <mergeCell ref="F100:G100"/>
    <mergeCell ref="H100:I100"/>
    <mergeCell ref="L100:M100"/>
    <mergeCell ref="P100:T100"/>
    <mergeCell ref="U100:V100"/>
    <mergeCell ref="B101:C101"/>
    <mergeCell ref="D101:E101"/>
    <mergeCell ref="F101:G101"/>
    <mergeCell ref="H101:I101"/>
    <mergeCell ref="B104:C104"/>
    <mergeCell ref="D104:E104"/>
    <mergeCell ref="F104:G104"/>
    <mergeCell ref="K129:K130"/>
    <mergeCell ref="L129:M130"/>
    <mergeCell ref="H104:I104"/>
    <mergeCell ref="L104:M104"/>
    <mergeCell ref="B153:C153"/>
    <mergeCell ref="D153:E153"/>
    <mergeCell ref="F153:G153"/>
    <mergeCell ref="H153:I153"/>
    <mergeCell ref="L153:M153"/>
    <mergeCell ref="P153:T153"/>
    <mergeCell ref="U153:V153"/>
    <mergeCell ref="B154:C154"/>
    <mergeCell ref="D154:E154"/>
    <mergeCell ref="F154:G154"/>
    <mergeCell ref="H154:I154"/>
    <mergeCell ref="L154:M154"/>
    <mergeCell ref="P154:T154"/>
    <mergeCell ref="U154:V154"/>
    <mergeCell ref="A148:AD149"/>
    <mergeCell ref="B150:C151"/>
    <mergeCell ref="D150:E151"/>
    <mergeCell ref="F150:G151"/>
    <mergeCell ref="H150:I151"/>
    <mergeCell ref="J150:J151"/>
    <mergeCell ref="K150:K151"/>
    <mergeCell ref="L150:M151"/>
    <mergeCell ref="N150:N151"/>
    <mergeCell ref="O150:O151"/>
    <mergeCell ref="P150:T151"/>
    <mergeCell ref="U150:V151"/>
    <mergeCell ref="Z150:AC150"/>
    <mergeCell ref="Z151:AA151"/>
    <mergeCell ref="AB151:AC151"/>
    <mergeCell ref="B152:C152"/>
    <mergeCell ref="D152:E152"/>
    <mergeCell ref="F152:G152"/>
    <mergeCell ref="B157:C157"/>
    <mergeCell ref="D157:E157"/>
    <mergeCell ref="F157:G157"/>
    <mergeCell ref="H157:I157"/>
    <mergeCell ref="L157:M157"/>
    <mergeCell ref="P157:T157"/>
    <mergeCell ref="U157:V157"/>
    <mergeCell ref="B158:C158"/>
    <mergeCell ref="D158:E158"/>
    <mergeCell ref="F158:G158"/>
    <mergeCell ref="H158:I158"/>
    <mergeCell ref="L158:M158"/>
    <mergeCell ref="P158:T158"/>
    <mergeCell ref="U158:V158"/>
    <mergeCell ref="B155:C155"/>
    <mergeCell ref="D155:E155"/>
    <mergeCell ref="F155:G155"/>
    <mergeCell ref="H155:I155"/>
    <mergeCell ref="L155:M155"/>
    <mergeCell ref="P155:T155"/>
    <mergeCell ref="U155:V155"/>
    <mergeCell ref="B156:C156"/>
    <mergeCell ref="D156:E156"/>
    <mergeCell ref="F156:G156"/>
    <mergeCell ref="H156:I156"/>
    <mergeCell ref="L156:M156"/>
    <mergeCell ref="P156:T156"/>
    <mergeCell ref="U156:V156"/>
    <mergeCell ref="B161:C161"/>
    <mergeCell ref="D161:E161"/>
    <mergeCell ref="F161:G161"/>
    <mergeCell ref="H161:I161"/>
    <mergeCell ref="L161:M161"/>
    <mergeCell ref="P161:T161"/>
    <mergeCell ref="U161:V161"/>
    <mergeCell ref="B162:C162"/>
    <mergeCell ref="D162:E162"/>
    <mergeCell ref="F162:G162"/>
    <mergeCell ref="H162:I162"/>
    <mergeCell ref="L162:M162"/>
    <mergeCell ref="P162:T162"/>
    <mergeCell ref="U162:V162"/>
    <mergeCell ref="B159:C159"/>
    <mergeCell ref="D159:E159"/>
    <mergeCell ref="F159:G159"/>
    <mergeCell ref="H159:I159"/>
    <mergeCell ref="L159:M159"/>
    <mergeCell ref="P159:T159"/>
    <mergeCell ref="U159:V159"/>
    <mergeCell ref="B160:C160"/>
    <mergeCell ref="D160:E160"/>
    <mergeCell ref="F160:G160"/>
    <mergeCell ref="H160:I160"/>
    <mergeCell ref="L160:M160"/>
    <mergeCell ref="P160:T160"/>
    <mergeCell ref="U160:V160"/>
    <mergeCell ref="N171:N172"/>
    <mergeCell ref="O171:O172"/>
    <mergeCell ref="P171:T172"/>
    <mergeCell ref="B163:C163"/>
    <mergeCell ref="D163:E163"/>
    <mergeCell ref="F163:G163"/>
    <mergeCell ref="H163:I163"/>
    <mergeCell ref="L163:M163"/>
    <mergeCell ref="P163:T163"/>
    <mergeCell ref="U163:V163"/>
    <mergeCell ref="B164:C164"/>
    <mergeCell ref="D164:E164"/>
    <mergeCell ref="F164:G164"/>
    <mergeCell ref="H164:I164"/>
    <mergeCell ref="L164:M164"/>
    <mergeCell ref="P164:T164"/>
    <mergeCell ref="U164:V164"/>
    <mergeCell ref="B165:C165"/>
    <mergeCell ref="D165:E165"/>
    <mergeCell ref="F165:G165"/>
    <mergeCell ref="H165:I165"/>
    <mergeCell ref="L165:M165"/>
    <mergeCell ref="P165:T165"/>
    <mergeCell ref="U165:V165"/>
    <mergeCell ref="Z174:AA174"/>
    <mergeCell ref="AB174:AC174"/>
    <mergeCell ref="AB173:AC173"/>
    <mergeCell ref="B166:C166"/>
    <mergeCell ref="D166:E166"/>
    <mergeCell ref="F166:G166"/>
    <mergeCell ref="H166:I166"/>
    <mergeCell ref="L166:M166"/>
    <mergeCell ref="P166:T166"/>
    <mergeCell ref="U166:V166"/>
    <mergeCell ref="B167:C167"/>
    <mergeCell ref="D167:E167"/>
    <mergeCell ref="F167:G167"/>
    <mergeCell ref="H167:I167"/>
    <mergeCell ref="L167:M167"/>
    <mergeCell ref="P167:T167"/>
    <mergeCell ref="U167:V167"/>
    <mergeCell ref="B174:C174"/>
    <mergeCell ref="D174:E174"/>
    <mergeCell ref="F174:G174"/>
    <mergeCell ref="H174:I174"/>
    <mergeCell ref="L174:M174"/>
    <mergeCell ref="P174:T174"/>
    <mergeCell ref="U174:V174"/>
    <mergeCell ref="A169:AD170"/>
    <mergeCell ref="B171:C172"/>
    <mergeCell ref="D171:E172"/>
    <mergeCell ref="F171:G172"/>
    <mergeCell ref="H171:I172"/>
    <mergeCell ref="J171:J172"/>
    <mergeCell ref="K171:K172"/>
    <mergeCell ref="L171:M172"/>
    <mergeCell ref="B175:C175"/>
    <mergeCell ref="D175:E175"/>
    <mergeCell ref="F175:G175"/>
    <mergeCell ref="H175:I175"/>
    <mergeCell ref="L175:M175"/>
    <mergeCell ref="P175:T175"/>
    <mergeCell ref="U175:V175"/>
    <mergeCell ref="B180:C180"/>
    <mergeCell ref="D180:E180"/>
    <mergeCell ref="F180:G180"/>
    <mergeCell ref="H180:I180"/>
    <mergeCell ref="L180:M180"/>
    <mergeCell ref="P180:T180"/>
    <mergeCell ref="U180:V180"/>
    <mergeCell ref="U171:V172"/>
    <mergeCell ref="Z171:AC171"/>
    <mergeCell ref="Z172:AA172"/>
    <mergeCell ref="AB172:AC172"/>
    <mergeCell ref="B173:C173"/>
    <mergeCell ref="D173:E173"/>
    <mergeCell ref="F173:G173"/>
    <mergeCell ref="H173:I173"/>
    <mergeCell ref="L173:M173"/>
    <mergeCell ref="P173:T173"/>
    <mergeCell ref="U173:V173"/>
    <mergeCell ref="B176:C176"/>
    <mergeCell ref="D176:E176"/>
    <mergeCell ref="F176:G176"/>
    <mergeCell ref="H176:I176"/>
    <mergeCell ref="L176:M176"/>
    <mergeCell ref="P176:T176"/>
    <mergeCell ref="U176:V176"/>
    <mergeCell ref="B178:C178"/>
    <mergeCell ref="D178:E178"/>
    <mergeCell ref="F178:G178"/>
    <mergeCell ref="H178:I178"/>
    <mergeCell ref="L178:M178"/>
    <mergeCell ref="P178:T178"/>
    <mergeCell ref="U178:V178"/>
    <mergeCell ref="B179:C179"/>
    <mergeCell ref="D179:E179"/>
    <mergeCell ref="F179:G179"/>
    <mergeCell ref="H179:I179"/>
    <mergeCell ref="L179:M179"/>
    <mergeCell ref="P179:T179"/>
    <mergeCell ref="U179:V179"/>
    <mergeCell ref="B177:C177"/>
    <mergeCell ref="D177:E177"/>
    <mergeCell ref="F177:G177"/>
    <mergeCell ref="H177:I177"/>
    <mergeCell ref="L177:M177"/>
    <mergeCell ref="P177:T177"/>
    <mergeCell ref="U177:V177"/>
    <mergeCell ref="U186:V186"/>
    <mergeCell ref="B182:C182"/>
    <mergeCell ref="D182:E182"/>
    <mergeCell ref="F182:G182"/>
    <mergeCell ref="H182:I182"/>
    <mergeCell ref="L182:M182"/>
    <mergeCell ref="P182:T182"/>
    <mergeCell ref="U182:V182"/>
    <mergeCell ref="B183:C183"/>
    <mergeCell ref="D183:E183"/>
    <mergeCell ref="F183:G183"/>
    <mergeCell ref="H183:I183"/>
    <mergeCell ref="L183:M183"/>
    <mergeCell ref="P183:T183"/>
    <mergeCell ref="U183:V183"/>
    <mergeCell ref="B181:C181"/>
    <mergeCell ref="D181:E181"/>
    <mergeCell ref="F181:G181"/>
    <mergeCell ref="H181:I181"/>
    <mergeCell ref="L181:M181"/>
    <mergeCell ref="P181:T181"/>
    <mergeCell ref="U181:V181"/>
    <mergeCell ref="N129:N130"/>
    <mergeCell ref="O129:O130"/>
    <mergeCell ref="L187:M187"/>
    <mergeCell ref="P187:T187"/>
    <mergeCell ref="U187:V187"/>
    <mergeCell ref="B188:C188"/>
    <mergeCell ref="D188:E188"/>
    <mergeCell ref="F188:G188"/>
    <mergeCell ref="H188:I188"/>
    <mergeCell ref="L188:M188"/>
    <mergeCell ref="P188:T188"/>
    <mergeCell ref="U188:V188"/>
    <mergeCell ref="B184:C184"/>
    <mergeCell ref="D184:E184"/>
    <mergeCell ref="F184:G184"/>
    <mergeCell ref="H184:I184"/>
    <mergeCell ref="L184:M184"/>
    <mergeCell ref="P184:T184"/>
    <mergeCell ref="U184:V184"/>
    <mergeCell ref="B185:C185"/>
    <mergeCell ref="D185:E185"/>
    <mergeCell ref="F185:G185"/>
    <mergeCell ref="H185:I185"/>
    <mergeCell ref="L185:M185"/>
    <mergeCell ref="P185:T185"/>
    <mergeCell ref="U185:V185"/>
    <mergeCell ref="B186:C186"/>
    <mergeCell ref="D186:E186"/>
    <mergeCell ref="H187:I187"/>
    <mergeCell ref="F186:G186"/>
    <mergeCell ref="H186:I186"/>
    <mergeCell ref="L186:M186"/>
    <mergeCell ref="P112:T112"/>
    <mergeCell ref="U112:V112"/>
    <mergeCell ref="B111:C111"/>
    <mergeCell ref="D111:E111"/>
    <mergeCell ref="F111:G111"/>
    <mergeCell ref="H111:I111"/>
    <mergeCell ref="L111:M111"/>
    <mergeCell ref="P111:T111"/>
    <mergeCell ref="U111:V111"/>
    <mergeCell ref="B114:C114"/>
    <mergeCell ref="D114:E114"/>
    <mergeCell ref="F114:G114"/>
    <mergeCell ref="H114:I114"/>
    <mergeCell ref="L114:M114"/>
    <mergeCell ref="P114:T114"/>
    <mergeCell ref="U114:V114"/>
    <mergeCell ref="B113:C113"/>
    <mergeCell ref="D113:E113"/>
    <mergeCell ref="F113:G113"/>
    <mergeCell ref="H113:I113"/>
    <mergeCell ref="L113:M113"/>
    <mergeCell ref="P113:T113"/>
    <mergeCell ref="U113:V113"/>
    <mergeCell ref="AB27:AC27"/>
    <mergeCell ref="AB25:AC25"/>
    <mergeCell ref="A22:AD23"/>
    <mergeCell ref="Z175:AA175"/>
    <mergeCell ref="AB175:AC175"/>
    <mergeCell ref="Z176:AA176"/>
    <mergeCell ref="AB176:AC176"/>
    <mergeCell ref="Z177:AA177"/>
    <mergeCell ref="AB177:AC177"/>
    <mergeCell ref="Z178:AA178"/>
    <mergeCell ref="AB178:AC178"/>
    <mergeCell ref="AB69:AC69"/>
    <mergeCell ref="AB48:AC48"/>
    <mergeCell ref="AB46:AC46"/>
    <mergeCell ref="AB90:AC90"/>
    <mergeCell ref="A43:AD44"/>
    <mergeCell ref="B57:C57"/>
    <mergeCell ref="D57:E57"/>
    <mergeCell ref="F57:G57"/>
    <mergeCell ref="H57:I57"/>
    <mergeCell ref="L57:M57"/>
    <mergeCell ref="P57:T57"/>
    <mergeCell ref="U57:V57"/>
    <mergeCell ref="AB109:AC109"/>
    <mergeCell ref="A106:AD107"/>
    <mergeCell ref="Z108:AC108"/>
    <mergeCell ref="Z109:AA109"/>
    <mergeCell ref="B112:C112"/>
    <mergeCell ref="D112:E112"/>
    <mergeCell ref="F112:G112"/>
    <mergeCell ref="H112:I112"/>
    <mergeCell ref="L112:M112"/>
    <mergeCell ref="AB195:AC195"/>
    <mergeCell ref="Z179:AA179"/>
    <mergeCell ref="AB179:AC179"/>
    <mergeCell ref="Z180:AA180"/>
    <mergeCell ref="AB180:AC180"/>
    <mergeCell ref="Z181:AA181"/>
    <mergeCell ref="AB181:AC181"/>
    <mergeCell ref="Z182:AA182"/>
    <mergeCell ref="AB182:AC182"/>
    <mergeCell ref="Z183:AA183"/>
    <mergeCell ref="AB183:AC183"/>
    <mergeCell ref="Z184:AA184"/>
    <mergeCell ref="AB184:AC184"/>
    <mergeCell ref="A190:AD191"/>
    <mergeCell ref="B192:C193"/>
    <mergeCell ref="D192:E193"/>
    <mergeCell ref="F192:G193"/>
    <mergeCell ref="H192:I193"/>
    <mergeCell ref="J192:J193"/>
    <mergeCell ref="K192:K193"/>
    <mergeCell ref="L192:M193"/>
    <mergeCell ref="N192:N193"/>
    <mergeCell ref="O192:O193"/>
    <mergeCell ref="P192:T193"/>
    <mergeCell ref="U192:V193"/>
    <mergeCell ref="Z192:AC192"/>
    <mergeCell ref="Z193:AA193"/>
    <mergeCell ref="AB193:AC193"/>
    <mergeCell ref="B187:C187"/>
    <mergeCell ref="D187:E187"/>
    <mergeCell ref="F187:G187"/>
    <mergeCell ref="P186:T186"/>
    <mergeCell ref="B196:C196"/>
    <mergeCell ref="D196:E196"/>
    <mergeCell ref="F196:G196"/>
    <mergeCell ref="H196:I196"/>
    <mergeCell ref="L196:M196"/>
    <mergeCell ref="P196:T196"/>
    <mergeCell ref="U196:V196"/>
    <mergeCell ref="B197:C197"/>
    <mergeCell ref="D197:E197"/>
    <mergeCell ref="F197:G197"/>
    <mergeCell ref="H197:I197"/>
    <mergeCell ref="L197:M197"/>
    <mergeCell ref="P197:T197"/>
    <mergeCell ref="U197:V197"/>
    <mergeCell ref="B194:C194"/>
    <mergeCell ref="D194:E194"/>
    <mergeCell ref="F194:G194"/>
    <mergeCell ref="H194:I194"/>
    <mergeCell ref="L194:M194"/>
    <mergeCell ref="P194:T194"/>
    <mergeCell ref="U194:V194"/>
    <mergeCell ref="B195:C195"/>
    <mergeCell ref="D195:E195"/>
    <mergeCell ref="F195:G195"/>
    <mergeCell ref="H195:I195"/>
    <mergeCell ref="L195:M195"/>
    <mergeCell ref="P195:T195"/>
    <mergeCell ref="U195:V195"/>
    <mergeCell ref="B200:C200"/>
    <mergeCell ref="D200:E200"/>
    <mergeCell ref="F200:G200"/>
    <mergeCell ref="H200:I200"/>
    <mergeCell ref="L200:M200"/>
    <mergeCell ref="P200:T200"/>
    <mergeCell ref="U200:V200"/>
    <mergeCell ref="B201:C201"/>
    <mergeCell ref="D201:E201"/>
    <mergeCell ref="F201:G201"/>
    <mergeCell ref="H201:I201"/>
    <mergeCell ref="L201:M201"/>
    <mergeCell ref="P201:T201"/>
    <mergeCell ref="U201:V201"/>
    <mergeCell ref="B198:C198"/>
    <mergeCell ref="D198:E198"/>
    <mergeCell ref="F198:G198"/>
    <mergeCell ref="H198:I198"/>
    <mergeCell ref="L198:M198"/>
    <mergeCell ref="P198:T198"/>
    <mergeCell ref="U198:V198"/>
    <mergeCell ref="B199:C199"/>
    <mergeCell ref="D199:E199"/>
    <mergeCell ref="F199:G199"/>
    <mergeCell ref="H199:I199"/>
    <mergeCell ref="L199:M199"/>
    <mergeCell ref="P199:T199"/>
    <mergeCell ref="U199:V199"/>
    <mergeCell ref="F204:G204"/>
    <mergeCell ref="H204:I204"/>
    <mergeCell ref="L204:M204"/>
    <mergeCell ref="P204:T204"/>
    <mergeCell ref="U204:V204"/>
    <mergeCell ref="B205:C205"/>
    <mergeCell ref="D205:E205"/>
    <mergeCell ref="F205:G205"/>
    <mergeCell ref="H205:I205"/>
    <mergeCell ref="L205:M205"/>
    <mergeCell ref="P205:T205"/>
    <mergeCell ref="U205:V205"/>
    <mergeCell ref="B202:C202"/>
    <mergeCell ref="D202:E202"/>
    <mergeCell ref="F202:G202"/>
    <mergeCell ref="H202:I202"/>
    <mergeCell ref="L202:M202"/>
    <mergeCell ref="P202:T202"/>
    <mergeCell ref="U202:V202"/>
    <mergeCell ref="B203:C203"/>
    <mergeCell ref="D203:E203"/>
    <mergeCell ref="F203:G203"/>
    <mergeCell ref="H203:I203"/>
    <mergeCell ref="L203:M203"/>
    <mergeCell ref="P203:T203"/>
    <mergeCell ref="U203:V203"/>
    <mergeCell ref="Z2:AA2"/>
    <mergeCell ref="AB2:AC2"/>
    <mergeCell ref="B209:C209"/>
    <mergeCell ref="D209:E209"/>
    <mergeCell ref="F209:G209"/>
    <mergeCell ref="H209:I209"/>
    <mergeCell ref="L209:M209"/>
    <mergeCell ref="P209:T209"/>
    <mergeCell ref="U209:V209"/>
    <mergeCell ref="B206:C206"/>
    <mergeCell ref="D206:E206"/>
    <mergeCell ref="F206:G206"/>
    <mergeCell ref="H206:I206"/>
    <mergeCell ref="L206:M206"/>
    <mergeCell ref="P206:T206"/>
    <mergeCell ref="U206:V206"/>
    <mergeCell ref="B207:C207"/>
    <mergeCell ref="D207:E207"/>
    <mergeCell ref="F207:G207"/>
    <mergeCell ref="H207:I207"/>
    <mergeCell ref="L207:M207"/>
    <mergeCell ref="P207:T207"/>
    <mergeCell ref="U207:V207"/>
    <mergeCell ref="B208:C208"/>
    <mergeCell ref="D208:E208"/>
    <mergeCell ref="F208:G208"/>
    <mergeCell ref="H208:I208"/>
    <mergeCell ref="L208:M208"/>
    <mergeCell ref="P208:T208"/>
    <mergeCell ref="U208:V208"/>
    <mergeCell ref="B204:C204"/>
    <mergeCell ref="D204:E204"/>
    <mergeCell ref="A232:AD233"/>
    <mergeCell ref="B234:C235"/>
    <mergeCell ref="D234:E235"/>
    <mergeCell ref="F234:G235"/>
    <mergeCell ref="H234:I235"/>
    <mergeCell ref="J234:J235"/>
    <mergeCell ref="K234:K235"/>
    <mergeCell ref="L234:M235"/>
    <mergeCell ref="N234:N235"/>
    <mergeCell ref="O234:O235"/>
    <mergeCell ref="P234:T235"/>
    <mergeCell ref="U234:V235"/>
    <mergeCell ref="Z234:AC234"/>
    <mergeCell ref="Z235:AA235"/>
    <mergeCell ref="AB235:AC235"/>
    <mergeCell ref="B236:C236"/>
    <mergeCell ref="D236:E236"/>
    <mergeCell ref="F236:G236"/>
    <mergeCell ref="H236:I236"/>
    <mergeCell ref="L236:M236"/>
    <mergeCell ref="P236:T236"/>
    <mergeCell ref="U236:V236"/>
    <mergeCell ref="B237:C237"/>
    <mergeCell ref="D237:E237"/>
    <mergeCell ref="F237:G237"/>
    <mergeCell ref="H237:I237"/>
    <mergeCell ref="L237:M237"/>
    <mergeCell ref="P237:T237"/>
    <mergeCell ref="U237:V237"/>
    <mergeCell ref="B238:C238"/>
    <mergeCell ref="D238:E238"/>
    <mergeCell ref="F238:G238"/>
    <mergeCell ref="H238:I238"/>
    <mergeCell ref="L238:M238"/>
    <mergeCell ref="P238:T238"/>
    <mergeCell ref="U238:V238"/>
    <mergeCell ref="B239:C239"/>
    <mergeCell ref="D239:E239"/>
    <mergeCell ref="F239:G239"/>
    <mergeCell ref="H239:I239"/>
    <mergeCell ref="L239:M239"/>
    <mergeCell ref="P239:T239"/>
    <mergeCell ref="U239:V239"/>
    <mergeCell ref="B240:C240"/>
    <mergeCell ref="D240:E240"/>
    <mergeCell ref="F240:G240"/>
    <mergeCell ref="H240:I240"/>
    <mergeCell ref="L240:M240"/>
    <mergeCell ref="P240:T240"/>
    <mergeCell ref="U240:V240"/>
    <mergeCell ref="B241:C241"/>
    <mergeCell ref="D241:E241"/>
    <mergeCell ref="F241:G241"/>
    <mergeCell ref="H241:I241"/>
    <mergeCell ref="L241:M241"/>
    <mergeCell ref="P241:T241"/>
    <mergeCell ref="U241:V241"/>
    <mergeCell ref="B242:C242"/>
    <mergeCell ref="D242:E242"/>
    <mergeCell ref="F242:G242"/>
    <mergeCell ref="H242:I242"/>
    <mergeCell ref="L242:M242"/>
    <mergeCell ref="P242:T242"/>
    <mergeCell ref="U242:V242"/>
    <mergeCell ref="B243:C243"/>
    <mergeCell ref="D243:E243"/>
    <mergeCell ref="F243:G243"/>
    <mergeCell ref="H243:I243"/>
    <mergeCell ref="L243:M243"/>
    <mergeCell ref="P243:T243"/>
    <mergeCell ref="U243:V243"/>
    <mergeCell ref="B244:C244"/>
    <mergeCell ref="D244:E244"/>
    <mergeCell ref="F244:G244"/>
    <mergeCell ref="H244:I244"/>
    <mergeCell ref="L244:M244"/>
    <mergeCell ref="P244:T244"/>
    <mergeCell ref="U244:V244"/>
    <mergeCell ref="B245:C245"/>
    <mergeCell ref="D245:E245"/>
    <mergeCell ref="F245:G245"/>
    <mergeCell ref="H245:I245"/>
    <mergeCell ref="L245:M245"/>
    <mergeCell ref="P245:T245"/>
    <mergeCell ref="U245:V245"/>
    <mergeCell ref="B246:C246"/>
    <mergeCell ref="D246:E246"/>
    <mergeCell ref="F246:G246"/>
    <mergeCell ref="H246:I246"/>
    <mergeCell ref="L246:M246"/>
    <mergeCell ref="P246:T246"/>
    <mergeCell ref="U246:V246"/>
    <mergeCell ref="B247:C247"/>
    <mergeCell ref="D247:E247"/>
    <mergeCell ref="F247:G247"/>
    <mergeCell ref="H247:I247"/>
    <mergeCell ref="L247:M247"/>
    <mergeCell ref="P247:T247"/>
    <mergeCell ref="U247:V247"/>
    <mergeCell ref="B248:C248"/>
    <mergeCell ref="D248:E248"/>
    <mergeCell ref="F248:G248"/>
    <mergeCell ref="H248:I248"/>
    <mergeCell ref="L248:M248"/>
    <mergeCell ref="P248:T248"/>
    <mergeCell ref="U248:V248"/>
    <mergeCell ref="B249:C249"/>
    <mergeCell ref="D249:E249"/>
    <mergeCell ref="F249:G249"/>
    <mergeCell ref="H249:I249"/>
    <mergeCell ref="L249:M249"/>
    <mergeCell ref="P249:T249"/>
    <mergeCell ref="U249:V249"/>
    <mergeCell ref="B250:C250"/>
    <mergeCell ref="D250:E250"/>
    <mergeCell ref="F250:G250"/>
    <mergeCell ref="H250:I250"/>
    <mergeCell ref="L250:M250"/>
    <mergeCell ref="P250:T250"/>
    <mergeCell ref="U250:V250"/>
    <mergeCell ref="B251:C251"/>
    <mergeCell ref="D251:E251"/>
    <mergeCell ref="F251:G251"/>
    <mergeCell ref="H251:I251"/>
    <mergeCell ref="L251:M251"/>
    <mergeCell ref="P251:T251"/>
    <mergeCell ref="U251:V251"/>
    <mergeCell ref="A253:AD254"/>
    <mergeCell ref="B255:C256"/>
    <mergeCell ref="D255:E256"/>
    <mergeCell ref="F255:G256"/>
    <mergeCell ref="H255:I256"/>
    <mergeCell ref="J255:J256"/>
    <mergeCell ref="K255:K256"/>
    <mergeCell ref="L255:M256"/>
    <mergeCell ref="N255:N256"/>
    <mergeCell ref="O255:O256"/>
    <mergeCell ref="P255:T256"/>
    <mergeCell ref="U255:V256"/>
    <mergeCell ref="Z255:AC255"/>
    <mergeCell ref="Z256:AA256"/>
    <mergeCell ref="AB256:AC256"/>
    <mergeCell ref="B257:C257"/>
    <mergeCell ref="D257:E257"/>
    <mergeCell ref="F257:G257"/>
    <mergeCell ref="H257:I257"/>
    <mergeCell ref="L257:M257"/>
    <mergeCell ref="P257:T257"/>
    <mergeCell ref="U257:V257"/>
    <mergeCell ref="B258:C258"/>
    <mergeCell ref="D258:E258"/>
    <mergeCell ref="F258:G258"/>
    <mergeCell ref="H258:I258"/>
    <mergeCell ref="L258:M258"/>
    <mergeCell ref="P258:T258"/>
    <mergeCell ref="U258:V258"/>
    <mergeCell ref="AB258:AC258"/>
    <mergeCell ref="B259:C259"/>
    <mergeCell ref="D259:E259"/>
    <mergeCell ref="F259:G259"/>
    <mergeCell ref="H259:I259"/>
    <mergeCell ref="L259:M259"/>
    <mergeCell ref="P259:T259"/>
    <mergeCell ref="U259:V259"/>
    <mergeCell ref="B260:C260"/>
    <mergeCell ref="D260:E260"/>
    <mergeCell ref="F260:G260"/>
    <mergeCell ref="H260:I260"/>
    <mergeCell ref="L260:M260"/>
    <mergeCell ref="P260:T260"/>
    <mergeCell ref="U260:V260"/>
    <mergeCell ref="B261:C261"/>
    <mergeCell ref="D261:E261"/>
    <mergeCell ref="F261:G261"/>
    <mergeCell ref="H261:I261"/>
    <mergeCell ref="L261:M261"/>
    <mergeCell ref="P261:T261"/>
    <mergeCell ref="U261:V261"/>
    <mergeCell ref="B262:C262"/>
    <mergeCell ref="D262:E262"/>
    <mergeCell ref="F262:G262"/>
    <mergeCell ref="H262:I262"/>
    <mergeCell ref="L262:M262"/>
    <mergeCell ref="P262:T262"/>
    <mergeCell ref="U262:V262"/>
    <mergeCell ref="B263:C263"/>
    <mergeCell ref="D263:E263"/>
    <mergeCell ref="F263:G263"/>
    <mergeCell ref="H263:I263"/>
    <mergeCell ref="L263:M263"/>
    <mergeCell ref="P263:T263"/>
    <mergeCell ref="U263:V263"/>
    <mergeCell ref="B264:C264"/>
    <mergeCell ref="D264:E264"/>
    <mergeCell ref="F264:G264"/>
    <mergeCell ref="H264:I264"/>
    <mergeCell ref="L264:M264"/>
    <mergeCell ref="P264:T264"/>
    <mergeCell ref="U264:V264"/>
    <mergeCell ref="B265:C265"/>
    <mergeCell ref="D265:E265"/>
    <mergeCell ref="F265:G265"/>
    <mergeCell ref="H265:I265"/>
    <mergeCell ref="L265:M265"/>
    <mergeCell ref="P265:T265"/>
    <mergeCell ref="U265:V265"/>
    <mergeCell ref="B266:C266"/>
    <mergeCell ref="D266:E266"/>
    <mergeCell ref="F266:G266"/>
    <mergeCell ref="H266:I266"/>
    <mergeCell ref="L266:M266"/>
    <mergeCell ref="P266:T266"/>
    <mergeCell ref="U266:V266"/>
    <mergeCell ref="B267:C267"/>
    <mergeCell ref="D267:E267"/>
    <mergeCell ref="F267:G267"/>
    <mergeCell ref="H267:I267"/>
    <mergeCell ref="L267:M267"/>
    <mergeCell ref="P267:T267"/>
    <mergeCell ref="U267:V267"/>
    <mergeCell ref="B268:C268"/>
    <mergeCell ref="D268:E268"/>
    <mergeCell ref="F268:G268"/>
    <mergeCell ref="H268:I268"/>
    <mergeCell ref="L268:M268"/>
    <mergeCell ref="P268:T268"/>
    <mergeCell ref="U268:V268"/>
    <mergeCell ref="B269:C269"/>
    <mergeCell ref="D269:E269"/>
    <mergeCell ref="F269:G269"/>
    <mergeCell ref="H269:I269"/>
    <mergeCell ref="L269:M269"/>
    <mergeCell ref="P269:T269"/>
    <mergeCell ref="U269:V269"/>
    <mergeCell ref="B270:C270"/>
    <mergeCell ref="D270:E270"/>
    <mergeCell ref="F270:G270"/>
    <mergeCell ref="H270:I270"/>
    <mergeCell ref="L270:M270"/>
    <mergeCell ref="P270:T270"/>
    <mergeCell ref="U270:V270"/>
    <mergeCell ref="B271:C271"/>
    <mergeCell ref="D271:E271"/>
    <mergeCell ref="F271:G271"/>
    <mergeCell ref="H271:I271"/>
    <mergeCell ref="L271:M271"/>
    <mergeCell ref="P271:T271"/>
    <mergeCell ref="U271:V271"/>
    <mergeCell ref="B272:C272"/>
    <mergeCell ref="D272:E272"/>
    <mergeCell ref="F272:G272"/>
    <mergeCell ref="H272:I272"/>
    <mergeCell ref="L272:M272"/>
    <mergeCell ref="P272:T272"/>
    <mergeCell ref="U272:V272"/>
  </mergeCells>
  <conditionalFormatting sqref="B26:C41 F26:G41 U26:V41">
    <cfRule type="cellIs" dxfId="79" priority="158" operator="greaterThan">
      <formula>3</formula>
    </cfRule>
    <cfRule type="cellIs" dxfId="78" priority="159" operator="equal">
      <formula>3</formula>
    </cfRule>
  </conditionalFormatting>
  <conditionalFormatting sqref="B89:C104 F89:G104 U89:V104">
    <cfRule type="cellIs" dxfId="77" priority="134" operator="greaterThan">
      <formula>3</formula>
    </cfRule>
    <cfRule type="cellIs" dxfId="76" priority="135" operator="equal">
      <formula>3</formula>
    </cfRule>
  </conditionalFormatting>
  <conditionalFormatting sqref="B110:C125 F110:G125 U110:V125">
    <cfRule type="cellIs" dxfId="75" priority="128" operator="greaterThan">
      <formula>3</formula>
    </cfRule>
    <cfRule type="cellIs" dxfId="74" priority="129" operator="equal">
      <formula>3</formula>
    </cfRule>
  </conditionalFormatting>
  <conditionalFormatting sqref="B131:C146 F131:G146 U131:V146">
    <cfRule type="cellIs" dxfId="73" priority="124" operator="greaterThan">
      <formula>3</formula>
    </cfRule>
    <cfRule type="cellIs" dxfId="72" priority="125" operator="equal">
      <formula>3</formula>
    </cfRule>
  </conditionalFormatting>
  <conditionalFormatting sqref="B152:C167 F152:G167 U152:V167">
    <cfRule type="cellIs" dxfId="71" priority="120" operator="greaterThan">
      <formula>3</formula>
    </cfRule>
    <cfRule type="cellIs" dxfId="70" priority="121" operator="equal">
      <formula>3</formula>
    </cfRule>
  </conditionalFormatting>
  <conditionalFormatting sqref="B3:W18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{269DAEC3-E664-4F7A-B102-2161DDA9FDAA}</x14:id>
        </ext>
      </extLst>
    </cfRule>
  </conditionalFormatting>
  <conditionalFormatting sqref="Z173:AC184">
    <cfRule type="cellIs" dxfId="69" priority="114" operator="greaterThan">
      <formula>1</formula>
    </cfRule>
  </conditionalFormatting>
  <conditionalFormatting sqref="Z194:AC205">
    <cfRule type="cellIs" dxfId="68" priority="109" operator="greaterThan">
      <formula>1</formula>
    </cfRule>
  </conditionalFormatting>
  <conditionalFormatting sqref="B47:C62 F47:G62 U47:V62">
    <cfRule type="cellIs" dxfId="67" priority="107" operator="greaterThan">
      <formula>3</formula>
    </cfRule>
    <cfRule type="cellIs" dxfId="66" priority="108" operator="equal">
      <formula>3</formula>
    </cfRule>
  </conditionalFormatting>
  <conditionalFormatting sqref="AE3:AE15">
    <cfRule type="aboveAverage" dxfId="65" priority="106" aboveAverage="0"/>
  </conditionalFormatting>
  <conditionalFormatting sqref="AF3:AF15">
    <cfRule type="aboveAverage" dxfId="64" priority="105" aboveAverage="0"/>
  </conditionalFormatting>
  <conditionalFormatting sqref="AH3:AH15">
    <cfRule type="aboveAverage" dxfId="63" priority="104" aboveAverage="0"/>
  </conditionalFormatting>
  <conditionalFormatting sqref="B68:C83">
    <cfRule type="cellIs" dxfId="62" priority="95" operator="greaterThan">
      <formula>3</formula>
    </cfRule>
    <cfRule type="cellIs" dxfId="61" priority="99" operator="equal">
      <formula>3</formula>
    </cfRule>
    <cfRule type="cellIs" dxfId="60" priority="103" operator="greaterThan">
      <formula>4</formula>
    </cfRule>
  </conditionalFormatting>
  <conditionalFormatting sqref="F68:G83">
    <cfRule type="cellIs" dxfId="59" priority="94" operator="greaterThan">
      <formula>3</formula>
    </cfRule>
    <cfRule type="cellIs" dxfId="58" priority="98" operator="equal">
      <formula>3</formula>
    </cfRule>
    <cfRule type="cellIs" dxfId="57" priority="102" operator="greaterThan">
      <formula>4</formula>
    </cfRule>
  </conditionalFormatting>
  <conditionalFormatting sqref="U68:V83">
    <cfRule type="cellIs" dxfId="56" priority="97" operator="equal">
      <formula>3</formula>
    </cfRule>
    <cfRule type="cellIs" dxfId="55" priority="101" operator="greaterThan">
      <formula>4</formula>
    </cfRule>
  </conditionalFormatting>
  <conditionalFormatting sqref="W68:W83">
    <cfRule type="cellIs" dxfId="54" priority="96" operator="equal">
      <formula>3</formula>
    </cfRule>
    <cfRule type="cellIs" dxfId="53" priority="100" operator="greaterThan">
      <formula>4</formula>
    </cfRule>
  </conditionalFormatting>
  <conditionalFormatting sqref="B173:C188">
    <cfRule type="cellIs" dxfId="52" priority="91" operator="greaterThan">
      <formula>3</formula>
    </cfRule>
    <cfRule type="cellIs" dxfId="51" priority="91" operator="equal">
      <formula>3</formula>
    </cfRule>
    <cfRule type="cellIs" dxfId="50" priority="93" operator="greaterThan">
      <formula>4</formula>
    </cfRule>
  </conditionalFormatting>
  <conditionalFormatting sqref="F173:G188">
    <cfRule type="cellIs" dxfId="49" priority="88" operator="greaterThan">
      <formula>3</formula>
    </cfRule>
    <cfRule type="cellIs" dxfId="48" priority="88" operator="equal">
      <formula>3</formula>
    </cfRule>
    <cfRule type="cellIs" dxfId="47" priority="92" operator="greaterThan">
      <formula>4</formula>
    </cfRule>
  </conditionalFormatting>
  <conditionalFormatting sqref="U173:V188">
    <cfRule type="cellIs" dxfId="46" priority="85" operator="greaterThan">
      <formula>3</formula>
    </cfRule>
    <cfRule type="cellIs" dxfId="45" priority="87" operator="equal">
      <formula>3</formula>
    </cfRule>
    <cfRule type="cellIs" dxfId="44" priority="160" operator="greaterThan">
      <formula>4</formula>
    </cfRule>
  </conditionalFormatting>
  <conditionalFormatting sqref="W173:W188">
    <cfRule type="cellIs" dxfId="43" priority="86" operator="equal">
      <formula>3</formula>
    </cfRule>
    <cfRule type="cellIs" dxfId="42" priority="90" operator="greaterThan">
      <formula>4</formula>
    </cfRule>
  </conditionalFormatting>
  <conditionalFormatting sqref="J173:J188">
    <cfRule type="aboveAverage" dxfId="41" priority="83" aboveAverage="0"/>
  </conditionalFormatting>
  <conditionalFormatting sqref="K173:K188">
    <cfRule type="aboveAverage" dxfId="40" priority="82" aboveAverage="0"/>
  </conditionalFormatting>
  <conditionalFormatting sqref="B194:C209">
    <cfRule type="cellIs" dxfId="39" priority="33" operator="greaterThan">
      <formula>3</formula>
    </cfRule>
    <cfRule type="cellIs" dxfId="38" priority="37" operator="equal">
      <formula>3</formula>
    </cfRule>
    <cfRule type="cellIs" dxfId="37" priority="41" operator="greaterThan">
      <formula>4</formula>
    </cfRule>
  </conditionalFormatting>
  <conditionalFormatting sqref="F194:G209">
    <cfRule type="cellIs" dxfId="36" priority="32" operator="greaterThan">
      <formula>3</formula>
    </cfRule>
    <cfRule type="cellIs" dxfId="35" priority="36" operator="equal">
      <formula>3</formula>
    </cfRule>
    <cfRule type="cellIs" dxfId="34" priority="40" operator="greaterThan">
      <formula>4</formula>
    </cfRule>
  </conditionalFormatting>
  <conditionalFormatting sqref="U194:V209">
    <cfRule type="cellIs" dxfId="33" priority="29" operator="greaterThan">
      <formula>3</formula>
    </cfRule>
    <cfRule type="cellIs" dxfId="32" priority="35" operator="equal">
      <formula>3</formula>
    </cfRule>
    <cfRule type="cellIs" dxfId="31" priority="39" operator="greaterThan">
      <formula>4</formula>
    </cfRule>
  </conditionalFormatting>
  <conditionalFormatting sqref="W194:W209">
    <cfRule type="cellIs" dxfId="30" priority="34" operator="equal">
      <formula>3</formula>
    </cfRule>
    <cfRule type="cellIs" dxfId="29" priority="38" operator="greaterThan">
      <formula>4</formula>
    </cfRule>
  </conditionalFormatting>
  <conditionalFormatting sqref="J194:J209">
    <cfRule type="aboveAverage" dxfId="28" priority="31" aboveAverage="0"/>
  </conditionalFormatting>
  <conditionalFormatting sqref="K194:K209">
    <cfRule type="aboveAverage" dxfId="27" priority="30" aboveAverage="0"/>
  </conditionalFormatting>
  <conditionalFormatting sqref="AA215:AC226">
    <cfRule type="cellIs" dxfId="26" priority="28" operator="greaterThan">
      <formula>1</formula>
    </cfRule>
  </conditionalFormatting>
  <conditionalFormatting sqref="B215:C230">
    <cfRule type="cellIs" dxfId="25" priority="19" operator="greaterThan">
      <formula>3</formula>
    </cfRule>
    <cfRule type="cellIs" dxfId="24" priority="23" operator="equal">
      <formula>3</formula>
    </cfRule>
    <cfRule type="cellIs" dxfId="23" priority="27" operator="greaterThan">
      <formula>4</formula>
    </cfRule>
  </conditionalFormatting>
  <conditionalFormatting sqref="F215:G230">
    <cfRule type="cellIs" dxfId="22" priority="18" operator="greaterThan">
      <formula>3</formula>
    </cfRule>
    <cfRule type="cellIs" dxfId="21" priority="22" operator="equal">
      <formula>3</formula>
    </cfRule>
    <cfRule type="cellIs" dxfId="20" priority="26" operator="greaterThan">
      <formula>4</formula>
    </cfRule>
  </conditionalFormatting>
  <conditionalFormatting sqref="U215:V230">
    <cfRule type="cellIs" dxfId="19" priority="15" operator="greaterThan">
      <formula>3</formula>
    </cfRule>
    <cfRule type="cellIs" dxfId="18" priority="21" operator="equal">
      <formula>3</formula>
    </cfRule>
    <cfRule type="cellIs" dxfId="17" priority="25" operator="greaterThan">
      <formula>4</formula>
    </cfRule>
  </conditionalFormatting>
  <conditionalFormatting sqref="W215:W230">
    <cfRule type="cellIs" dxfId="16" priority="20" operator="equal">
      <formula>3</formula>
    </cfRule>
    <cfRule type="cellIs" dxfId="15" priority="24" operator="greaterThan">
      <formula>4</formula>
    </cfRule>
  </conditionalFormatting>
  <conditionalFormatting sqref="J215:J230">
    <cfRule type="aboveAverage" dxfId="14" priority="17" aboveAverage="0"/>
  </conditionalFormatting>
  <conditionalFormatting sqref="K215:K230">
    <cfRule type="aboveAverage" dxfId="13" priority="16" aboveAverage="0"/>
  </conditionalFormatting>
  <conditionalFormatting sqref="B236:C251">
    <cfRule type="cellIs" dxfId="12" priority="5" operator="greaterThan">
      <formula>3</formula>
    </cfRule>
    <cfRule type="cellIs" dxfId="11" priority="9" operator="equal">
      <formula>3</formula>
    </cfRule>
    <cfRule type="cellIs" dxfId="10" priority="13" operator="greaterThan">
      <formula>4</formula>
    </cfRule>
  </conditionalFormatting>
  <conditionalFormatting sqref="F236:G251">
    <cfRule type="cellIs" dxfId="9" priority="4" operator="greaterThan">
      <formula>3</formula>
    </cfRule>
    <cfRule type="cellIs" dxfId="8" priority="8" operator="equal">
      <formula>3</formula>
    </cfRule>
    <cfRule type="cellIs" dxfId="7" priority="12" operator="greaterThan">
      <formula>4</formula>
    </cfRule>
  </conditionalFormatting>
  <conditionalFormatting sqref="U236:V251">
    <cfRule type="cellIs" dxfId="6" priority="1" operator="greaterThan">
      <formula>3</formula>
    </cfRule>
    <cfRule type="cellIs" dxfId="5" priority="7" operator="equal">
      <formula>3</formula>
    </cfRule>
    <cfRule type="cellIs" dxfId="4" priority="11" operator="greaterThan">
      <formula>4</formula>
    </cfRule>
  </conditionalFormatting>
  <conditionalFormatting sqref="W236:W251">
    <cfRule type="cellIs" dxfId="3" priority="6" operator="equal">
      <formula>3</formula>
    </cfRule>
    <cfRule type="cellIs" dxfId="2" priority="10" operator="greaterThan">
      <formula>4</formula>
    </cfRule>
  </conditionalFormatting>
  <conditionalFormatting sqref="J236:J251">
    <cfRule type="aboveAverage" dxfId="1" priority="3" aboveAverage="0"/>
  </conditionalFormatting>
  <conditionalFormatting sqref="K236:K251">
    <cfRule type="aboveAverage" dxfId="0" priority="2" aboveAverage="0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DAEC3-E664-4F7A-B102-2161DDA9FD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B3:W18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BB63-B9E6-4DED-826C-0E2374155C70}">
  <sheetPr codeName="Sheet5"/>
  <dimension ref="A1:H17"/>
  <sheetViews>
    <sheetView workbookViewId="0">
      <selection activeCell="D20" sqref="D20"/>
    </sheetView>
  </sheetViews>
  <sheetFormatPr baseColWidth="10" defaultColWidth="8.83203125" defaultRowHeight="15" x14ac:dyDescent="0.2"/>
  <cols>
    <col min="8" max="8" width="31.6640625" customWidth="1"/>
  </cols>
  <sheetData>
    <row r="1" spans="1:8" x14ac:dyDescent="0.2">
      <c r="A1" t="s">
        <v>34</v>
      </c>
    </row>
    <row r="2" spans="1:8" x14ac:dyDescent="0.2">
      <c r="A2" t="s">
        <v>32</v>
      </c>
    </row>
    <row r="3" spans="1:8" x14ac:dyDescent="0.2">
      <c r="A3" t="s">
        <v>29</v>
      </c>
    </row>
    <row r="4" spans="1:8" x14ac:dyDescent="0.2">
      <c r="A4" t="s">
        <v>33</v>
      </c>
    </row>
    <row r="5" spans="1:8" x14ac:dyDescent="0.2">
      <c r="A5" t="s">
        <v>38</v>
      </c>
    </row>
    <row r="6" spans="1:8" x14ac:dyDescent="0.2">
      <c r="A6" t="s">
        <v>27</v>
      </c>
    </row>
    <row r="7" spans="1:8" x14ac:dyDescent="0.2">
      <c r="A7" t="s">
        <v>25</v>
      </c>
      <c r="H7" s="2"/>
    </row>
    <row r="8" spans="1:8" x14ac:dyDescent="0.2">
      <c r="A8" t="s">
        <v>39</v>
      </c>
      <c r="H8" s="2"/>
    </row>
    <row r="9" spans="1:8" x14ac:dyDescent="0.2">
      <c r="A9" t="s">
        <v>40</v>
      </c>
      <c r="H9" s="2"/>
    </row>
    <row r="10" spans="1:8" x14ac:dyDescent="0.2">
      <c r="A10" t="s">
        <v>28</v>
      </c>
      <c r="H10" s="2"/>
    </row>
    <row r="11" spans="1:8" x14ac:dyDescent="0.2">
      <c r="A11" t="s">
        <v>31</v>
      </c>
      <c r="H11" s="2"/>
    </row>
    <row r="12" spans="1:8" x14ac:dyDescent="0.2">
      <c r="A12" t="s">
        <v>36</v>
      </c>
      <c r="H12" s="2"/>
    </row>
    <row r="13" spans="1:8" x14ac:dyDescent="0.2">
      <c r="A13" t="s">
        <v>26</v>
      </c>
      <c r="H13" s="2"/>
    </row>
    <row r="14" spans="1:8" x14ac:dyDescent="0.2">
      <c r="A14" t="s">
        <v>30</v>
      </c>
      <c r="H14" s="2"/>
    </row>
    <row r="15" spans="1:8" x14ac:dyDescent="0.2">
      <c r="A15" t="s">
        <v>35</v>
      </c>
      <c r="H15" s="2"/>
    </row>
    <row r="16" spans="1:8" x14ac:dyDescent="0.2">
      <c r="A16" t="s">
        <v>41</v>
      </c>
    </row>
    <row r="17" spans="1:1" x14ac:dyDescent="0.2">
      <c r="A17" t="s">
        <v>37</v>
      </c>
    </row>
  </sheetData>
  <sortState xmlns:xlrd2="http://schemas.microsoft.com/office/spreadsheetml/2017/richdata2" ref="A1:A17">
    <sortCondition ref="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TURNI</vt:lpstr>
      <vt:lpstr>DISPONIBILITà</vt:lpstr>
      <vt:lpstr>DA STAMPARE</vt:lpstr>
      <vt:lpstr>SOMMA TURNI TOTALI</vt:lpstr>
      <vt:lpstr>SETUP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 De Salvatore</dc:creator>
  <cp:keywords/>
  <dc:description/>
  <cp:lastModifiedBy>Sergio De Salvatore</cp:lastModifiedBy>
  <cp:revision/>
  <cp:lastPrinted>2024-02-12T12:44:59Z</cp:lastPrinted>
  <dcterms:created xsi:type="dcterms:W3CDTF">2023-11-14T19:56:44Z</dcterms:created>
  <dcterms:modified xsi:type="dcterms:W3CDTF">2025-12-16T14:58:14Z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0707fe-b2c5-4349-a92a-6123ae69e1a3_Enabled">
    <vt:lpwstr>true</vt:lpwstr>
  </property>
  <property fmtid="{D5CDD505-2E9C-101B-9397-08002B2CF9AE}" pid="3" name="MSIP_Label_790707fe-b2c5-4349-a92a-6123ae69e1a3_SetDate">
    <vt:lpwstr>2024-04-12T10:22:04Z</vt:lpwstr>
  </property>
  <property fmtid="{D5CDD505-2E9C-101B-9397-08002B2CF9AE}" pid="4" name="MSIP_Label_790707fe-b2c5-4349-a92a-6123ae69e1a3_Method">
    <vt:lpwstr>Standard</vt:lpwstr>
  </property>
  <property fmtid="{D5CDD505-2E9C-101B-9397-08002B2CF9AE}" pid="5" name="MSIP_Label_790707fe-b2c5-4349-a92a-6123ae69e1a3_Name">
    <vt:lpwstr>defa4170-0d19-0005-0004-bc88714345d2</vt:lpwstr>
  </property>
  <property fmtid="{D5CDD505-2E9C-101B-9397-08002B2CF9AE}" pid="6" name="MSIP_Label_790707fe-b2c5-4349-a92a-6123ae69e1a3_SiteId">
    <vt:lpwstr>f20d4cb4-0cf2-4818-9c70-fd85f0ecaaa7</vt:lpwstr>
  </property>
  <property fmtid="{D5CDD505-2E9C-101B-9397-08002B2CF9AE}" pid="7" name="MSIP_Label_790707fe-b2c5-4349-a92a-6123ae69e1a3_ActionId">
    <vt:lpwstr>da8debe5-f360-4539-957f-267e93c4b59d</vt:lpwstr>
  </property>
  <property fmtid="{D5CDD505-2E9C-101B-9397-08002B2CF9AE}" pid="8" name="MSIP_Label_790707fe-b2c5-4349-a92a-6123ae69e1a3_ContentBits">
    <vt:lpwstr>0</vt:lpwstr>
  </property>
</Properties>
</file>